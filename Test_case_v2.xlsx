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hinkPad T14s\Downloads\nam4\ki2\dot2\kiemthu\giuaky\"/>
    </mc:Choice>
  </mc:AlternateContent>
  <xr:revisionPtr revIDLastSave="0" documentId="13_ncr:1_{AEC16C54-7C88-40D7-8813-59C5BFE21D99}" xr6:coauthVersionLast="47" xr6:coauthVersionMax="47" xr10:uidLastSave="{00000000-0000-0000-0000-000000000000}"/>
  <bookViews>
    <workbookView xWindow="-110" yWindow="-110" windowWidth="19420" windowHeight="10300" xr2:uid="{B5BCAEEB-66CA-40E7-B512-037FA5B0B83F}"/>
  </bookViews>
  <sheets>
    <sheet name="tổng quan" sheetId="1" r:id="rId1"/>
    <sheet name="MOD_SEARCH" sheetId="13" r:id="rId2"/>
    <sheet name="MOD_CART" sheetId="4" r:id="rId3"/>
    <sheet name="MOD_CHECKOUT" sheetId="1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 i="1" l="1"/>
  <c r="E6" i="1"/>
  <c r="D6" i="1"/>
  <c r="G6" i="1"/>
  <c r="G7" i="1" l="1"/>
  <c r="F7" i="1"/>
  <c r="E7" i="1"/>
</calcChain>
</file>

<file path=xl/sharedStrings.xml><?xml version="1.0" encoding="utf-8"?>
<sst xmlns="http://schemas.openxmlformats.org/spreadsheetml/2006/main" count="557" uniqueCount="381">
  <si>
    <t>Mã module</t>
  </si>
  <si>
    <t>Tên Module / Tính năng</t>
  </si>
  <si>
    <t>Tổng số TC</t>
  </si>
  <si>
    <t>Đạt (Pass)</t>
  </si>
  <si>
    <t>Không đạt (Fail)</t>
  </si>
  <si>
    <t>Bỏ qua (Skip)</t>
  </si>
  <si>
    <t>MOD_SEARCH</t>
  </si>
  <si>
    <t>Tìm kiếm</t>
  </si>
  <si>
    <t>MOD_CART</t>
  </si>
  <si>
    <t>MOD_CHECKOUT</t>
  </si>
  <si>
    <t>Quản lý Giỏ hàng</t>
  </si>
  <si>
    <t>Thông tin Thanh toán</t>
  </si>
  <si>
    <t>TỔNG CỘNG</t>
  </si>
  <si>
    <t>Các bước thực hiện</t>
  </si>
  <si>
    <t>Dữ liệu đầu vào</t>
  </si>
  <si>
    <t>Kết quả mong đợi</t>
  </si>
  <si>
    <t>Status</t>
  </si>
  <si>
    <t>Ghi chú</t>
  </si>
  <si>
    <t>MOD_SEARCH: MODULE TÌM KIẾM</t>
  </si>
  <si>
    <t>TC-SEARCH-S5-001</t>
  </si>
  <si>
    <t>TC-SEARCH-S5-004</t>
  </si>
  <si>
    <t>TC-SEARCH-S5-002</t>
  </si>
  <si>
    <t>TC-SEARCH-S5-003</t>
  </si>
  <si>
    <t>TC-SEARCH-S5-005</t>
  </si>
  <si>
    <t>TC-SEARCH-S5-006</t>
  </si>
  <si>
    <t>TC-SEARCH-S5-007</t>
  </si>
  <si>
    <t>PASS</t>
  </si>
  <si>
    <t>FAIL</t>
  </si>
  <si>
    <t>TC-SEARCH-S1-001</t>
  </si>
  <si>
    <t>TC-SEARCH-S1-002</t>
  </si>
  <si>
    <t>TC-SEARCH-S1-003</t>
  </si>
  <si>
    <t>TC-SEARCH-S1-004</t>
  </si>
  <si>
    <t>TC-SEARCH-S2-001</t>
  </si>
  <si>
    <t>TC-SEARCH-S2-002</t>
  </si>
  <si>
    <t>TC-SEARCH-S2-003</t>
  </si>
  <si>
    <t>TC-SEARCH-S2-004</t>
  </si>
  <si>
    <t>TC-SEARCH-S3-001</t>
  </si>
  <si>
    <t>TC-SEARCH-S4-001</t>
  </si>
  <si>
    <t>TC-SEARCH-S4-002</t>
  </si>
  <si>
    <t>1. Truy cập trang chủ.
2. Nhập từ khóa vào ô tìm kiếm.
3. Nhấn Enter.</t>
  </si>
  <si>
    <t>1. Truy cập trang chủ.
2. Nhập một phần từ khóa vào ô tìm kiếm.
3. Nhấn Enter.</t>
  </si>
  <si>
    <t>1. Nhập từ khóa có dấu, ghi nhận kết quả.
2. Nhập từ khóa không dấu tương ứng.
3. So sánh kết quả.</t>
  </si>
  <si>
    <t>1. Nhập mã SKU và Enter.
2. Mở sản phẩm đầu tiên trong kết quả.
3. Kiểm tra trường "Mã hàng" chi tiết.</t>
  </si>
  <si>
    <t>1. Nhập khoảng trắng, phím tab hoặc bỏ trống ô tìm kiếm.
2. Nhấn Enter.</t>
  </si>
  <si>
    <t>1. Nhập chuỗi ký tự đặc biệt hoặc Emoji.
2. Nhấn Enter.</t>
  </si>
  <si>
    <t>1. Nhập chuỗi ký tự ngẫu nhiên không có nghĩa.
2. Nhấn Enter.</t>
  </si>
  <si>
    <t>1. Nhập từ khóa có chứa nhiều khoảng trắng ở 2 đầu.
2. Nhấn Enter.</t>
  </si>
  <si>
    <t>1. Nhập chuỗi có độ dài: 1 ký tự, 100 ký tự, 400 ký tự.
2. Nhấn Enter.</t>
  </si>
  <si>
    <t>1. Tìm từ khóa "kinh tế", "tâm lý học"...
2. Nhập các trường hợp khoảng giá Min/Max.
3. Áp dụng bộ lọc.</t>
  </si>
  <si>
    <t>1. Tìm từ khóa bất kỳ.
2. Áp dụng bộ lọc giá trị "Nhà xuất bản" tương ứng.</t>
  </si>
  <si>
    <t>1. Tìm từ khóa "tâm lý".
2. Lọc ngay NXB "NXB Dân Trí".</t>
  </si>
  <si>
    <t>1. Nhập từ khóa.
2. Bấm Enter và đo thời gian cho đến khi list sản phẩm hiển thị.</t>
  </si>
  <si>
    <t>1. Gõ sai từ khóa do dính phím trên bàn phím (VD: h thành j).
2. Nhấn Enter.</t>
  </si>
  <si>
    <t>1. Nhập từ khóa bị rớt dấu gõ kiểu Telex/VNI.
2. Nhấn Enter.</t>
  </si>
  <si>
    <t>"hai số phận", "harry potter và hòn đá phù thủy"</t>
  </si>
  <si>
    <t>Danh sách top 5 sản phẩm trả về chứa kết quả khớp chính xác: "Hai Số Phận", "Harry Potter".</t>
  </si>
  <si>
    <t>"so phan kane", "cam ngot", "harry hòn đá"</t>
  </si>
  <si>
    <t>Danh sách sản phẩm trả về chứa kết quả liên quan: "Hai Số Phận", "Cây Cam Ngọt", "Harry Potter".</t>
  </si>
  <si>
    <t>Có dấu: "hai số phận"
Không dấu: "hai so phan"</t>
  </si>
  <si>
    <t>Cả 2 lần tìm kiếm đều trả về danh sách sản phẩm lớn hơn 0.</t>
  </si>
  <si>
    <t>"8935095635047"</t>
  </si>
  <si>
    <t>Giá trị trường Mã hàng trong chi tiết sản phẩm khớp chính xác với chuỗi SKU đầu vào.</t>
  </si>
  <si>
    <t>"", " ", " \t "</t>
  </si>
  <si>
    <t>Hệ thống không bị crash (văng lỗi), thẻ body và thanh tìm kiếm vẫn hiển thị bình thường.</t>
  </si>
  <si>
    <t>"@#$%^&amp;*", "📚👍❤"</t>
  </si>
  <si>
    <t>Thanh tìm kiếm vẫn hiển thị, hệ thống không thực thi mã XSS.</t>
  </si>
  <si>
    <t>"alkdieyklkdkjsoid"</t>
  </si>
  <si>
    <t>Hệ thống hiển thị dòng chữ thông báo không tìm thấy kết quả phù hợp.</t>
  </si>
  <si>
    <t>" hai số phận "</t>
  </si>
  <si>
    <t>Hệ thống tự động loại bỏ khoảng trắng thừa, ô tìm kiếm hiển thị giá trị đã trim: "hai số phận".</t>
  </si>
  <si>
    <t>Chuỗi "a" lặp lại 1, 100, 400 lần</t>
  </si>
  <si>
    <t>Trình duyệt không bị crash, thanh tìm kiếm vẫn hiển thị và xử lý được lượng text lớn.</t>
  </si>
  <si>
    <t>50k-150k, 200k-500k, Min bằng Max (100k), Min &gt; Max (150k - 100k)</t>
  </si>
  <si>
    <t>Hệ thống báo lỗi khoảng giá khi Min&gt;Max, báo hết sản phẩm, hoặc hiển thị đúng list sản phẩm có giá nằm trong giới hạn.</t>
  </si>
  <si>
    <t>Từ khóa: "tâm lý" - Lọc NXB: "NXB Dân Trí"</t>
  </si>
  <si>
    <t>Checkbox tương ứng với NXB đã chọn phải chuyển sang trạng thái checked.</t>
  </si>
  <si>
    <t>Từ khóa: "tâm lý", NXB: "NXB Dân Trí"</t>
  </si>
  <si>
    <t>Số lượng sản phẩm ở kết quả tìm kiếm trả về lớn hơn 0.</t>
  </si>
  <si>
    <t>"harry potter"</t>
  </si>
  <si>
    <t>Thời gian load danh sách sản phẩm hiển thị thực tế mất tối đa &lt;= 5000ms.</t>
  </si>
  <si>
    <t>Lỗi Hiệu năng: Tìm kiếm vượt quá thời gian kỳ vọng tối đa (5000ms).</t>
  </si>
  <si>
    <t>"hry potter", "đắc nhân tm", "nh giả kim", "tuổi trẻ đáng gá"</t>
  </si>
  <si>
    <t>Thuật toán vẫn tìm ra sản phẩm đúng tương ứng (VD: "Harry Potter", "Đắc nhân tâm").</t>
  </si>
  <si>
    <t>"câyy cam ngọt", "haai số phận", "không giia đình"</t>
  </si>
  <si>
    <t>Thuật toán vẫn tìm ra sản phẩm đúng tương ứng.</t>
  </si>
  <si>
    <t>"jary potter", "hoành tử bé", "thú rội"</t>
  </si>
  <si>
    <t xml:space="preserve">"haryr potter", "muôn kếip nhân sinh", </t>
  </si>
  <si>
    <t>"đắc nhân tậm", "nhaf giả kim", "muono kieps nhana sinh"</t>
  </si>
  <si>
    <t>Tên kịch bản kiểm thử</t>
  </si>
  <si>
    <t>Kĩ thuật kiểm thử</t>
  </si>
  <si>
    <t>Phân vùng tương đương</t>
  </si>
  <si>
    <t xml:space="preserve">Phân vùng tương đương </t>
  </si>
  <si>
    <t>Kiểm thử hiệu năng</t>
  </si>
  <si>
    <t>MOD_CART: MODULE GIỎ HÀNG</t>
  </si>
  <si>
    <t>TC-CART-S1-001</t>
  </si>
  <si>
    <t>TC-CART-S1-002</t>
  </si>
  <si>
    <t>TC-CART-S1-003</t>
  </si>
  <si>
    <t>TC-CART-S1-004</t>
  </si>
  <si>
    <t>TC-CART-S2-001</t>
  </si>
  <si>
    <t>TC-CART-S2-002</t>
  </si>
  <si>
    <t>TC-CART-S3-001</t>
  </si>
  <si>
    <t>TC-CART-S3-002</t>
  </si>
  <si>
    <t>TC-CART-S3-003</t>
  </si>
  <si>
    <t>TC-CART-S3-004</t>
  </si>
  <si>
    <t>TC-CART-S3-005</t>
  </si>
  <si>
    <t>TC-CART-S4-001</t>
  </si>
  <si>
    <t>TC-CART-S4-002</t>
  </si>
  <si>
    <t>TC-CART-S4-003</t>
  </si>
  <si>
    <t>TC-CART-S4-004</t>
  </si>
  <si>
    <t>TC-CART-S5-001</t>
  </si>
  <si>
    <t>TC-CART-S5-002</t>
  </si>
  <si>
    <t>TC-CART-S6-001</t>
  </si>
  <si>
    <t>TC-CART-S6-002</t>
  </si>
  <si>
    <t>SP_A (Giá: 106.000đ)</t>
  </si>
  <si>
    <t>SP_B (Giá: 64.000đ)</t>
  </si>
  <si>
    <t>SP_A, SP_B.</t>
  </si>
  <si>
    <t>SP_A.</t>
  </si>
  <si>
    <t>Input: "1".</t>
  </si>
  <si>
    <t>Input: 7.</t>
  </si>
  <si>
    <t>Input: "0", rỗng (""), "-1".</t>
  </si>
  <si>
    <t>Paste: "abc", "@#$", "2e3", "1.5", " 2 ".</t>
  </si>
  <si>
    <t>SP_D.</t>
  </si>
  <si>
    <t>Web tự động đổi/chặn và trả kết quả về "1" trong mọi trường hợp.</t>
  </si>
  <si>
    <t>Hai giỏ gộp thành 1 dòng SP_C, số lượng cộng dồn chính xác bằng 5.</t>
  </si>
  <si>
    <t>1. Gọi thêm SP_B vào giỏ 2 lần.
2. Mở trang Giỏ hàng.</t>
  </si>
  <si>
    <t>1. Thêm SP_B vào giỏ.
2. Lần lượt nhập các giá trị sai biên dưới và nhấn Enter.</t>
  </si>
  <si>
    <t>Chỉ hiển thị 1 dòng sản phẩm SP_B.
Số lượng sản phẩm hiển thị là 2.</t>
  </si>
  <si>
    <t>MOD_CHECKOUT: MODULE ĐIỀN THÔNG TIN THANH TOÁN</t>
  </si>
  <si>
    <t>TC-CHECKOUT-S1-001</t>
  </si>
  <si>
    <t>TC-CHECKOUT-S1-002</t>
  </si>
  <si>
    <t>TC-CHECKOUT-S1-003</t>
  </si>
  <si>
    <t>TC-CHECKOUT-S1-004</t>
  </si>
  <si>
    <t>TC-CHECKOUT-S1-005</t>
  </si>
  <si>
    <t>TC-CHECKOUT-S1-006</t>
  </si>
  <si>
    <t>TC-CHECKOUT-S1-007</t>
  </si>
  <si>
    <t>TC-CHECKOUT-S1-008</t>
  </si>
  <si>
    <t>TC-CHECKOUT-S1-009</t>
  </si>
  <si>
    <t>TC-CHECKOUT-S1-010</t>
  </si>
  <si>
    <t>TC-CHECKOUT-S1-011</t>
  </si>
  <si>
    <t>TC-CHECKOUT-S1-012</t>
  </si>
  <si>
    <t>TC-CHECKOUT-S2-001</t>
  </si>
  <si>
    <t>TC-CHECKOUT-S2-002</t>
  </si>
  <si>
    <t>TC-CHECKOUT-S2-003</t>
  </si>
  <si>
    <t>TC-CHECKOUT-S3-001</t>
  </si>
  <si>
    <t>TC-CHECKOUT-S3-002</t>
  </si>
  <si>
    <t>TC-CHECKOUT-S3-003</t>
  </si>
  <si>
    <t>TC-CHECKOUT-S4-001</t>
  </si>
  <si>
    <t>TC-CHECKOUT-S4-002</t>
  </si>
  <si>
    <t>TC-CHECKOUT-S4-003</t>
  </si>
  <si>
    <t>TC-CHECKOUT-S4-004</t>
  </si>
  <si>
    <t>TC-CHECKOUT-S4-005</t>
  </si>
  <si>
    <t>TC-CHECKOUT-S4-006</t>
  </si>
  <si>
    <t>TC-CHECKOUT-S5-001</t>
  </si>
  <si>
    <t>TC-CHECKOUT-S5-002</t>
  </si>
  <si>
    <t>SĐT: 037841650 (9 chữ số)</t>
  </si>
  <si>
    <t>Ô SĐT bị highlight đỏ.Hiển thị lỗi chứa từ khóa "10 chữ số", "không hợp lệ" hoặc "điện thoại".</t>
  </si>
  <si>
    <t>SĐT: 1001010101</t>
  </si>
  <si>
    <t>Hệ thống phải báo lỗi "không hợp lệ" hoặc "phải bắt đầu bằng số 0".</t>
  </si>
  <si>
    <t>SĐT: 0378abc504</t>
  </si>
  <si>
    <t>SĐT đã đăng ký: 0339469831</t>
  </si>
  <si>
    <t>HCM -&gt; Hà Nội</t>
  </si>
  <si>
    <t>Tỉnh/Thành phố: Để trống</t>
  </si>
  <si>
    <t>Email: user@domain</t>
  </si>
  <si>
    <t>Họ tên: " " (5 dấu cách)</t>
  </si>
  <si>
    <t>Hiển thị thông báo lỗi (không tồn tại/hết hạn/sai mã).</t>
  </si>
  <si>
    <t>Giỏ hàng ~2 Triệu.Mã KM: FHS30KT06</t>
  </si>
  <si>
    <t>Email VAT: user@domain</t>
  </si>
  <si>
    <t>F-Point: 10000</t>
  </si>
  <si>
    <t>F-Point: 999999</t>
  </si>
  <si>
    <t>Hệ thống chặn, tự động điều chỉnh về mức tối đa hoặc báo lỗi vượt số dư.</t>
  </si>
  <si>
    <t>PTTT: vnpay</t>
  </si>
  <si>
    <t>Chuỗi PTTT: vnpay, cashondelivery, momopay</t>
  </si>
  <si>
    <t>SP_C (Cây Cam Ngọt Của Tôi)</t>
  </si>
  <si>
    <t>Ghi chú: "Giao hàng giờ hành chính, gọi trước khi giao"</t>
  </si>
  <si>
    <t>SKIP</t>
  </si>
  <si>
    <t>Tài khoản thử nghiệm mới có số dư F-Point = 0 (Không hiển thị khung chọn điểm). Bỏ qua kịch bản.</t>
  </si>
  <si>
    <t>PHẦN TRĂM</t>
  </si>
  <si>
    <t xml:space="preserve">Đoán lỗi </t>
  </si>
  <si>
    <t>Đoán lỗi</t>
  </si>
  <si>
    <t>Phân tích giá trị biên  
Phân vùng tương đương</t>
  </si>
  <si>
    <t>Phân tích giá trị biên</t>
  </si>
  <si>
    <t>Bảng quyết định</t>
  </si>
  <si>
    <t>Kiểm tra chức năng tìm kiếm với từ khóa chính xác</t>
  </si>
  <si>
    <t>Kiểm tra chức năng tìm kiếm với một phần từ khóa</t>
  </si>
  <si>
    <t>Kiểm tra chức năng tìm kiếm với từ khóa tiếng Việt không dấu</t>
  </si>
  <si>
    <t>Kiểm tra chức năng tìm kiếm với mã định danh sản phẩm (SKU/ISBN)</t>
  </si>
  <si>
    <t>Kiểm tra chức năng tìm kiếm khi bỏ trống từ khóa hoặc chỉ nhập khoảng trắng</t>
  </si>
  <si>
    <t>Kiểm tra chức năng tìm kiếm với từ khóa chứa ký tự đặc biệt hoặc emoji</t>
  </si>
  <si>
    <t>Kiểm tra chức năng tìm kiếm khi nhập từ khóa chứa khoảng trắng thừa ở hai đầu</t>
  </si>
  <si>
    <t>Kiểm tra chức năng lọc kết quả tìm kiếm với điều kiện khoảng giá</t>
  </si>
  <si>
    <t>Kiểm tra chức năng lọc kết quả tìm kiếm với điều kiện nhà xuất bản</t>
  </si>
  <si>
    <t>Kiểm tra chức năng tìm kiếm khi áp dụng đồng thời từ khóa và bộ lọc</t>
  </si>
  <si>
    <t>Kiểm tra thời gian phản hồi của hệ thống khi tải danh sách kết quả tìm kiếm</t>
  </si>
  <si>
    <t>Bảng quyết định, Kiểm thử theo tình huống sử dụng, Chuyển đổi trạng thái</t>
  </si>
  <si>
    <t>Bảng quyết định, Phân tích giá trị biên</t>
  </si>
  <si>
    <t>Chuyển đổi trạng thái, Bảng quyết định</t>
  </si>
  <si>
    <t>Kiểm tra thêm sản phẩm vào giỏ hàng khi giỏ hàng đang trống</t>
  </si>
  <si>
    <t>Kiểm tra thêm sản phẩm vào giỏ hàng với sản phẩm đã tồn tại trong giỏ</t>
  </si>
  <si>
    <t>Kiểm tra thêm sản phẩm vào giỏ hàng khi sản phẩm đã hết hàng hoặc vượt giới hạn tồn kho</t>
  </si>
  <si>
    <t>Kiểm tra cập nhật biểu tượng giỏ hàng trên thanh điều hướng khi thêm sản phẩm thành công</t>
  </si>
  <si>
    <t>Kiểm tra tính tổng tiền tạm tính khi chọn hoặc bỏ chọn sản phẩm</t>
  </si>
  <si>
    <t>Kiểm tra lưu trữ trạng thái chọn sản phẩm khi tải lại trang web</t>
  </si>
  <si>
    <t>Kiểm tra cập nhật số lượng sản phẩm với giá trị biên dưới hợp lệ (bằng 1)</t>
  </si>
  <si>
    <t>Kiểm tra cập nhật số lượng sản phẩm với giá trị biên trên hợp lệ (bằng tồn kho tối đa)</t>
  </si>
  <si>
    <t>Kiểm tra cập nhật số lượng sản phẩm khi nhập giá trị vượt quá tồn kho tối đa</t>
  </si>
  <si>
    <t>Kiểm tra cập nhật số lượng sản phẩm khi nhập các giá trị biên dưới không hợp lệ (bằng 0, số âm, để trống)</t>
  </si>
  <si>
    <t>Kiểm tra cập nhật số lượng sản phẩm khi dán các ký tự không hợp lệ (chữ cái, ký tự đặc biệt)</t>
  </si>
  <si>
    <t>Kiểm tra hiển thị gợi ý khuyến mãi khi tổng tiền chưa đạt điều kiện miễn phí giao hàng</t>
  </si>
  <si>
    <t>Kiểm tra áp dụng mã khuyến mãi khi tổng tiền đạt điều kiện miễn phí giao hàng</t>
  </si>
  <si>
    <t>Kiểm tra hiển thị gợi ý khuyến mãi khi tổng tiền sát với điều kiện giảm giá</t>
  </si>
  <si>
    <t>Kiểm tra trạng thái mã khuyến mãi khi giảm số lượng sản phẩm làm tổng tiền không còn đủ điều kiện</t>
  </si>
  <si>
    <t>Kiểm tra xóa sản phẩm khi giỏ hàng có nhiều hơn một sản phẩm</t>
  </si>
  <si>
    <t>Kiểm tra trạng thái giao diện giỏ hàng khi xóa sản phẩm cuối cùng</t>
  </si>
  <si>
    <t>Kiểm tra gộp giỏ hàng khi đăng nhập với tài khoản có chứa sản phẩm trùng lặp</t>
  </si>
  <si>
    <t>Kiểm tra gộp giỏ hàng khi đăng nhập với tài khoản có chứa sản phẩm khác loại</t>
  </si>
  <si>
    <t>SP_A biến mất, giỏ hàng vẫn còn tồn tại dòng sản phẩm SP_B.</t>
  </si>
  <si>
    <t>Chuyển đổi trạng thái</t>
  </si>
  <si>
    <t>Kiểm tra chức năng đặt hàng của khách vãng lai khi điền đầy đủ thông tin hợp lệ</t>
  </si>
  <si>
    <t>Kiểm tra xác thực biểu mẫu khi bỏ trống tất cả các trường thông tin bắt buộc</t>
  </si>
  <si>
    <t>Kiểm tra xác thực trường số điện thoại khi nhập chín chữ số</t>
  </si>
  <si>
    <t>Kiểm tra xác thực trường số điện thoại khi cố tình nhập mười một chữ số</t>
  </si>
  <si>
    <t>Kiểm tra xác thực trường số điện thoại khi nhập chuỗi chứa ký tự chữ cái</t>
  </si>
  <si>
    <t>Kiểm tra xác thực trường họ tên khi chỉ nhập ký tự khoảng trắng</t>
  </si>
  <si>
    <t>Kiểm tra hiển thị mã giảm giá khi tổng tiền giỏ hàng chưa đạt mức tối thiểu</t>
  </si>
  <si>
    <t>Kiểm tra chức năng áp dụng mã khuyến mãi khi nhập mã không tồn tại</t>
  </si>
  <si>
    <t>Kiểm tra giao diện biểu mẫu hóa đơn giá trị gia tăng khi chuyển đổi đối tượng khách hàng</t>
  </si>
  <si>
    <t>Kiểm tra xác thực biểu mẫu hóa đơn doanh nghiệp khi để trống mã số thuế</t>
  </si>
  <si>
    <t>Kiểm tra xác thực trường thư điện tử nhận hóa đơn khi nhập sai định dạng</t>
  </si>
  <si>
    <t>Kiểm tra giao diện và tổng tiền khi thay đổi phương thức thanh toán</t>
  </si>
  <si>
    <t>Kiểm tra thông tin sản phẩm hiển thị trong phần đối chiếu đơn hàng</t>
  </si>
  <si>
    <t>1. Tạo giỏ hàng và vào Checkout.
2. Điền đủ thông tin, riêng ô SĐT nhập 9 số.
3. Bỏ trỏ chuột khỏi ô SĐT.</t>
  </si>
  <si>
    <t>1. Điền thông tin giao hàng hợp lệ.
2. Chuyển đổi liên tục theo thứ tự: VNPAY -&gt; COD -&gt; Momo.</t>
  </si>
  <si>
    <t>S1: Thêm sản phẩm vào giỏ hàng</t>
  </si>
  <si>
    <t>S2: Lựa chọn sản phẩm thanh toán</t>
  </si>
  <si>
    <t>S3: Cập nhật và kiểm soát số lượng</t>
  </si>
  <si>
    <t>S4: Điều kiện áp dụng mã khuyến mãi</t>
  </si>
  <si>
    <t>S5: Xóa sản phẩm khỏi giỏ hàng</t>
  </si>
  <si>
    <t>S6: Đồng bộ dữ liệu giỏ hàng</t>
  </si>
  <si>
    <t>S1: Tìm kiếm sản phẩm cơ bản</t>
  </si>
  <si>
    <t>S2: Xử lý từ khóa ngoại lệ và bảo mật</t>
  </si>
  <si>
    <t>S3: Tìm kiếm và lọc sản phẩm nâng cao</t>
  </si>
  <si>
    <t>S4: Hiệu suất hệ thống tìm kiếm</t>
  </si>
  <si>
    <t>S5: Xử lý lỗi chính tả và gợi ý</t>
  </si>
  <si>
    <t>Sản phẩm "hai số phận".</t>
  </si>
  <si>
    <t>Tên Test Case</t>
  </si>
  <si>
    <t>Mã Test Case</t>
  </si>
  <si>
    <t>Kiểm tra chức năng tìm kiếm với từ khóa vô nghĩa</t>
  </si>
  <si>
    <t>Kiểm tra chức năng tìm kiếm với các độ dài từ khóa khác nhau</t>
  </si>
  <si>
    <t>Kiểm tra kết quả tìm kiếm khi nhập từ khóa bị thiếu ký tự</t>
  </si>
  <si>
    <t>1. Cố ý nhập sai từ khóa (thiếu ký tự).
2. Nhấn Enter.</t>
  </si>
  <si>
    <t>Kiểm tra kết quả tìm kiếm khi nhập từ khóa bị thừa ký tự</t>
  </si>
  <si>
    <t>1. Cố ý nhập sai từ khóa (thừa ký tự).
2. Nhấn Enter.</t>
  </si>
  <si>
    <t>Kiểm tra kết quả tìm kiếm khi gõ sai đảo vị trí các chữ cái trong từ khóa</t>
  </si>
  <si>
    <t>1. Cố ý gõ nhanh làm đảo vị trí chữ cái.
2. Nhấn Enter.</t>
  </si>
  <si>
    <t>Kiểm tra kết quả tìm kiếm khi nhập sai từ khóa do dính phím liền kề</t>
  </si>
  <si>
    <t>Kiểm tra kết quả tìm kiếm khi từ khóa bị lỗi gõ dấu</t>
  </si>
  <si>
    <t>Phân vùng tương đương, Chuyển đổi trạng thái, Đoán lỗi</t>
  </si>
  <si>
    <t>Phân tích giá trị biên, Phân vùng tương đương, Đoán lỗi</t>
  </si>
  <si>
    <t>Ô chọn sản phẩm được đánh dấu.
Tổng tiền thanh toán bằng đúng giá SP_A (106.000đ).</t>
  </si>
  <si>
    <t>1. Thêm SP_A vào giỏ hàng.
2. Mở trang Giỏ hàng.
3. Tick chọn sản phẩm (nếu chưa tick).</t>
  </si>
  <si>
    <t>TH1:
1. Thêm SP_B đạt số lượng tồn kho tối đa.
2. Quay lại trang SP_B, bấm "Thêm vào giỏ hàng".
TH2:
3. Truy cập trang chi tiết SP_OOS.</t>
  </si>
  <si>
    <t>SP_B (Stock: 7).
SP_OOS (Stock: 0).</t>
  </si>
  <si>
    <t>TH1: Browser bắn Alert chứa từ khóa "không/vượt/tồn/hết/cầu".
TH2: Nút "Thêm vào giỏ" và "Mua ngay" bị vô hiệu hoàn toàn.</t>
  </si>
  <si>
    <t>Biểu tượng giỏ hàng trên thanh điều hướng phải tăng lên đúng 1 đơn vị ngay lập tức mà không cần tải lại trang.</t>
  </si>
  <si>
    <t>Biểu tượng giỏ hàng không cập nhật số lượng khi thêm sản phẩm mới ở trang chủ</t>
  </si>
  <si>
    <t>1. Truy cập trang chủ.
2. Tìm từ khóa "hai số phận" và chọn SP đầu tiên.
3. Ghi nhận số lượng hiện tại hiển thị trên biểu tượng giỏ hàng.
4. Bấm thêm vào giỏ hàng.</t>
  </si>
  <si>
    <t>1. Thêm SP_A, SP_B vào giỏ.
2. Bỏ chọn tất cả các ô chọn sản phẩm.
3. Chỉ tick chọn lại SP_A.</t>
  </si>
  <si>
    <t>Tổng tiền thanh toán hiển thị bằng đúng giá của SP_A.</t>
  </si>
  <si>
    <t>1. Thêm SP_A vào giỏ.
2. Bỏ tick chọn SP_A.
3. Tải lại trang.</t>
  </si>
  <si>
    <t>Sau khi giao diện giỏ hàng tải lại xong, ô chọn của SP_A vẫn ở trạng thái bỏ chọn.</t>
  </si>
  <si>
    <t>1. Thêm SP_B vào giỏ.
2. Nhấp chuột vào ô nhập số lượng, nhập "1" rồi nhấp chuột ra ngoài ô đó.</t>
  </si>
  <si>
    <t>Ô nhập số lượng giữ nguyên giá trị 1, giao diện không hiển thị lỗi.</t>
  </si>
  <si>
    <t>1. Thêm SP_B vào giỏ.
2. Nhập số lượng bằng số lượng tồn kho tối đa (7) và nhấp chuột ra ngoài.</t>
  </si>
  <si>
    <t>Ô nhập số lượng giữ nguyên giá trị bằng tồn kho tối đa, giao diện không hiển thị lỗi.</t>
  </si>
  <si>
    <t>TH1: Nhập trực tiếp số vượt quá tồn kho tối đa(8).
TH2: Nhập đúng tồn kho tối đa (7), sau đó bấm nút dấu +.</t>
  </si>
  <si>
    <t>SP_B (Stock: 7).
Input vượt quá: 8.</t>
  </si>
  <si>
    <t>Xuất hiện dòng chữ lỗi: "Số lượng yêu cầu cho 8 không có sẵn" dưới sản phẩm.
Cả 2 TH, số lượng input tự động lùi về mức tồn kho tối đa (7).</t>
  </si>
  <si>
    <t>1. Thêm SP_B, đặt số lượng chuẩn = 2
2. Bôi đen toàn bộ số lượng trong ô và dán dữ liệu bẩn, ấn Enter.</t>
  </si>
  <si>
    <t>Hệ thống từ chối thay đổi hoặc tự động định dạng lại, trả về giá trị hợp lệ tương ứng: "2", "2", "2", "1", "2".</t>
  </si>
  <si>
    <t>Tổng tiền tạm tính: 64.000đ.</t>
  </si>
  <si>
    <t>Phần miễn phí vận chuyển hiển thị text có chứa chữ "Mua thêm" (báo chưa đủ điều kiện).</t>
  </si>
  <si>
    <t>Tổng tiền tạm tính: 192.000đ (Vượt ngưỡng 150k).</t>
  </si>
  <si>
    <t>Có ít nhất 1 mã khuyến mãi chuyển sang trạng thái đủ điều kiện - Có nút áp dụng.</t>
  </si>
  <si>
    <t>1. Thêm 8 cuốn SP_E (Tổng 928k).
2. Mở cửa sổ khuyến mãi, tìm mã giảm 70k.</t>
  </si>
  <si>
    <t>1. Thêm 3 cuốn SP_B (Tổng 192k).
2. Mở cửa sổ khuyến mãi.</t>
  </si>
  <si>
    <t>1. Thêm 1 cuốn SP_B (64k).
2. Mở cửa sổ khuyến mãi</t>
  </si>
  <si>
    <t>Tổng tiền tạm tính: 928.000đ (Sát ngưỡng 999k).</t>
  </si>
  <si>
    <t>1. Thêm 10 cuốn SP_C (1.000k).
2. Mở cửa số khuyến mãi, click áp mã FHS70KT06.
3. Giảm số lượng SP_C xuống 1.
4. Mở lại cửa sổ khuyến mãi kiểm tra trạng thái mã.</t>
  </si>
  <si>
    <t>Tổng tiền tạm tính thay đổi từ 1000k -&gt; 100k.</t>
  </si>
  <si>
    <t>1. Thêm SP_A, SP_B vào giỏ.
2. Bấm nút thùng rác/xóa tại dòng SP_A.</t>
  </si>
  <si>
    <t>1. Thêm duy nhất SP_D vào giỏ.
2. Bấm nút xóa SP_D.</t>
  </si>
  <si>
    <t>Hiện chữ "Giỏ hàng rỗng/chưa có sản phẩm trong giỏ hàng của bạn".</t>
  </si>
  <si>
    <t>Tài khoản X: 3 SP_C.
Khách: 2 SP_C.</t>
  </si>
  <si>
    <t>1. Giỏ tài khoản X có sẵn SP_B.
2. Giỏ khách thêm SP_A.
3. Đăng nhập tài khoản X.
4. Kiểm tra tồn tại SP trong giỏ.</t>
  </si>
  <si>
    <t>Tài khoản X: SP_B.
Khách: SP_A.</t>
  </si>
  <si>
    <t>Giỏ hàng gộp chung, tồn tại cả dòng SP_A và SP_B.</t>
  </si>
  <si>
    <t>1. Giỏ tài khoản X có sẵn 3 SP_C.
2. Giỏ khách (chưa đăng nhập) thêm 2 SP_C.
3. Đăng nhập tài khoản X.
4. Kiểm tra số lượng SP_C.</t>
  </si>
  <si>
    <t>S1: Xác thực dữ liệu trên biểu mẫu thanh toán</t>
  </si>
  <si>
    <t>1. Tạo giỏ hàng 1 sản phẩm và vào trang thanh toán.
2. Điền đầy đủ thông tin hợp lệ vào form địa chỉ giao hàng.</t>
  </si>
  <si>
    <t>Không hiển thị thông báo lỗi nào.
Phần phương thức vận chuyển hiển thị.
Nút "Xác nhận thanh toán" có thể bấm.</t>
  </si>
  <si>
    <t>SP_C (số lượng: 1).
Tên: Nguyen Van A
Email: testabc2411@gmail.com
SĐT: 0165825825
Tỉnh: Hồ Chí Minh, Quận: Quận 1, Phường: Bến Nghé, Đường: 123 Lê Lợi.</t>
  </si>
  <si>
    <t>SP_C (số lượng: 1).
Các trường thông tin: Rỗng</t>
  </si>
  <si>
    <t>1. Tạo giỏ hàng và vào trang thanh toán (tài khoản khách).
2. Để trống toàn bộ biểu mẫu.
3. Bấm "Xác nhận thanh toán".</t>
  </si>
  <si>
    <t>1. Tạo giỏ hàng và vào trang thanh toán.
2. Nhập SĐT gồm 11 chữ số.
3. Bỏ chuột khỏi ô SĐT.</t>
  </si>
  <si>
    <t>SĐT: 03784165041</t>
  </si>
  <si>
    <t>Hiển thị lỗi cho các trường bắt buộc.Trường "Họ tên" bị đánh dấu đỏ.</t>
  </si>
  <si>
    <t>Trường SĐT tự động cắt ký tự thứ 11 hoặc ô bị đánh dấu đỏ báo lỗi.</t>
  </si>
  <si>
    <t>Kiểm tra xác thực trường số điện thoại khi nhập đủ mười số nhưng không bắt đầu bằng số 0</t>
  </si>
  <si>
    <t xml:space="preserve">Thực tế web hiển thị thông báo lỗi không đúng như mong đợi. (Số điện thoại phải có 10 chữ số) </t>
  </si>
  <si>
    <t>1. Tạo giỏ hàng và vào trang thanh toán.
2. Nhập SĐT đủ 10 số nhưng bắt đầu bằng số 1.
3. Bỏ chuột  khỏi ô SĐT.</t>
  </si>
  <si>
    <t>1. Tạo giỏ hàng và vào trang thanh toán.
2. Nhập chuỗi chứa ký tự chữ cái vào SĐT.
3. Bỏ chuột khỏi ô SĐT.</t>
  </si>
  <si>
    <t>Ô nhập liệu tự động lọc bỏ chữ cái hoặc hiển thị lỗi đánh dấu đỏ.</t>
  </si>
  <si>
    <t>Kiểm tra rò rỉ dữ liệu khi nhập SĐT đã tồn tại trên hệ thống vào biểu mẫu của khách vãng lai</t>
  </si>
  <si>
    <t>1. Tạo giỏ hàng và vào trang thanh toán (Khách).
2. Nhập SĐT của một tài khoản đã đăng ký trên hệ thống.
3. Bỏ chuột khỏi ô SĐT.</t>
  </si>
  <si>
    <t>Chuỗi phản hồi không được chứa nội dung gợi ý tài khoản đã tồn tại.</t>
  </si>
  <si>
    <t>Lỗi bảo mật: Khách vãng lai có thể dò tìm tài khoản! Thông báo thực tế tiết lộ thông tin.</t>
  </si>
  <si>
    <t>Kiểm tra hiển thị danh sách quận/huyện tương ứng với tỉnh/thành phố đã chọn</t>
  </si>
  <si>
    <t>1. Tạo giỏ hàng và vào trang thanh toán.
2. Chọn tỉnh/thành phố là "Hà Nội".
3. Mở danh sách thả xuống quận/huyện và kiểm tra.</t>
  </si>
  <si>
    <t>Tỉnh: Hà Nội</t>
  </si>
  <si>
    <t>Danh sách thả xuống chỉ chứa quận/huyện của Hà Nội (VD: Hoàn Kiếm, Ba Đình).
Không chứa quận/huyện của các tỉnh/thành phố khác.</t>
  </si>
  <si>
    <t>Kiểm tra chức năng đặt lại dữ liệu khi thay đổi lựa chọn tỉnh/thành phố</t>
  </si>
  <si>
    <t>1. Vào trang thanh toán, chọn HCM -&gt; Quận 1 -&gt; Bến Nghé.
2. Đổi tỉnh/thành phố sang Hà Nội.</t>
  </si>
  <si>
    <t>Danh sách thả xuống quận/huyện và phường/xã phải bị đưa về giá trị mặc định.</t>
  </si>
  <si>
    <t>Kiểm tra thông báo lỗi khi để trống mục chọn tỉnh/thành phố</t>
  </si>
  <si>
    <t>1. Điền đầy đủ các ô nhập liệu hợp lệ.
2. Không chọn tỉnh/thành phố từ danh sách thả xuống.
3. Bấm "Xác nhận thanh toán".</t>
  </si>
  <si>
    <t>Hệ thống chặn đặt hàng và hiển thị lỗi yêu cầu chọn tỉnh/thành phố.</t>
  </si>
  <si>
    <t>Kiểm tra thông báo lỗi khi nhập sai định dạng email</t>
  </si>
  <si>
    <t>1. Điền đủ thông tin hợp lệ, riêng email nhập sai định dạng.
2. Bấm "Xác nhận thanh toán".</t>
  </si>
  <si>
    <t>Ô email bị đánh dấu đỏ và xuất hiện thông báo lỗi định dạng.</t>
  </si>
  <si>
    <t>1. Nhập Họ tên chỉ chứa dấu cách. Điền các trường khác hợp lệ.
2. Click "Xác nhận thanh toán".</t>
  </si>
  <si>
    <t>Ô họ tên bị đánh dấu đỏ và thông báo "Vui lòng nhập họ tên". Chặn đặt hàng.</t>
  </si>
  <si>
    <t>S2: Áp dụng mã khuyến mãi trên biểu mẫu thanh toán</t>
  </si>
  <si>
    <t>Cụm chữ bên trong mã khuyến mãi "Đơn hàng từ 999K" vẫn hiển thị trạng thái "Mua thêm".</t>
  </si>
  <si>
    <t>Mã khuyến mãi 999K tự động bị rớt, chuyển trạng thái từ Đã áp dụng về lại "Mua thêm".</t>
  </si>
  <si>
    <t>1. Tạo giỏ hàng 1 sản phẩm (100k - dưới ngưỡng).
2. Mở cửa sổ khuyến mãi.
3. Tìm mã khuyến mãi bị mờ.</t>
  </si>
  <si>
    <t>Giỏ hàng 100K.
Mã khuyến mãi áp dụng ngưỡng &gt;100K.</t>
  </si>
  <si>
    <t>Mã khuyến mãi bị mờ đi.Phải hiện nút "Mua thêm".Không được phép chứa nút "Áp dụng".</t>
  </si>
  <si>
    <t>1. Tại biểu mẫu mã khuyến mãi nhập mã khuyến mãi không tồn tại vào ô input.
2. Bấm "Áp dụng".</t>
  </si>
  <si>
    <t>Mã khuyến mãi: KHONGTONNTAI999</t>
  </si>
  <si>
    <t>Kiểm tra tính toán lại tổng tiền khi gỡ bỏ mã khuyến mãi đã áp dụng thành công</t>
  </si>
  <si>
    <t>1. Tạo giỏ hàng &gt; 2 triệu. Điền địa chỉ để chốt phí ship.
2. Ghi nhận Tổng tiền ban đầu.
3. Mở cửa sổ khuyến mãi, áp dụng mã 30K. Kiểm tra tiền giảm.
4. Mở cửa số khuyến mãi, gỡ mã 30K. Kiểm tra tiền.</t>
  </si>
  <si>
    <t>Tiền sau khi áp mã phải nhỏ hơn tiền ban đầu.
Tổng tiền sau khi gỡ mã phải phục hồi chính xác về giá trị gốc.</t>
  </si>
  <si>
    <t>S3: Yêu cầu xuất hóa đơn giá trị gia tăng</t>
  </si>
  <si>
    <t>1. Đánh dấu vào ô "Xuất hóa đơn GTGT".
2. Kiểm tra biểu mẫu hiện ra (mặc định Cá nhân).
3. Chọn tùy chọn "Doanh nghiệp".
4. Bỏ đánh dấu ô "Xuất hóa đơn GTGT".</t>
  </si>
  <si>
    <t>Tương tác giao diện (Đánh dấu ô chọn / Nhấp tùy chọn)</t>
  </si>
  <si>
    <t>Khi đánh dấu ô: Biểu mẫu thông tin hiện ra (mặc định cá nhân).
Chọn doanh nghiệp: Biểu mẫu hiện các trường MST, Tên CTY.
Khi bỏ đánh dấu ô: Biểu mẫu  ẩn đi.</t>
  </si>
  <si>
    <t>1. Đánh dấu vào ô  VAT -&gt; chọn "Doanh nghiệp".
2. Điền đủ trường trừ MST.
3. Điền thông tin giao hàng hợp lệ, bấm xác nhận.</t>
  </si>
  <si>
    <t>Trường MST bị đánh dấu đỏ và xuất hiện thông báo lỗi.</t>
  </si>
  <si>
    <t>Biểu mẫu  doanh nghiệp: MST = ""</t>
  </si>
  <si>
    <t>1. Đánh dấu vào ô VAT (mặc định Cá nhân).
2. Nhập email sai định dạng.
3. Điền thông tin giao hàng hợp lệ, bấm xác nhận.</t>
  </si>
  <si>
    <t>Trường email nhận hóa đơn bị đánh dấu đỏ và báo lỗi định dạng.</t>
  </si>
  <si>
    <t>S4: Xác nhận đơn hàng và tính toán chi phí</t>
  </si>
  <si>
    <t>Kiểm tra tính toán tổng tiền khi kết hợp sử dụng điểm thưởng, mã khuyến mãi và phí vận chuyển</t>
  </si>
  <si>
    <t>1. Đăng nhập tài khoản.
2. Tạo giỏ hàng và vào trang thanh toán.
3. Check chọn dùng F-Point và nhập 10000 điểm.
4. So sánh tổng tiền.</t>
  </si>
  <si>
    <t>Tiền sau khi trừ điểm F-Point phải chính xác.</t>
  </si>
  <si>
    <t>Kiểm tra cảnh báo lỗi khi nhập số điểm thưởng lớn hơn số dư hiện có</t>
  </si>
  <si>
    <t>1. Đăng nhập tài khoản.
2. Tạo giỏ hàng và vào trang thanh toán.
3. Chọn dùng F-Point và nhập số điểm khổng lồ (999999).</t>
  </si>
  <si>
    <t>1. Vào trang thanh toán, điền thông tin giao hàng hợp lệ.
2. Ghi nhận tổng tiền (Mặc định COD).
3. Chọn phương thức VNPAY.</t>
  </si>
  <si>
    <t>VNPAY được chọn, COD bị hủy chọn.Tổng tiền không thay đổi.Nút "Xác nhận thanh toán" vẫn bấm được.</t>
  </si>
  <si>
    <t>Kiểm tra tính ổn định của giao diện và tổng tiền khi thay đổi liên tục các phương thức thanh toán</t>
  </si>
  <si>
    <t>Giao diện cập nhật đúng phương thức thanh toán đã chọn cuối cùng.Tổng tiền không thay đổi qua các lần chuyển.</t>
  </si>
  <si>
    <t>Kiểm tra hệ thống tự động cập nhật phí vận chuyển khi thay đổi khu vực giao hàng</t>
  </si>
  <si>
    <t>1. Điền địa chỉ mặc định là Hà Nội. Ghi nhận phí vận chuyển HN.
2. Đổi địa chỉ sang Hà Giang (Huyện Xín Mần, Xã Xín Mần).
3. Chờ và ghi nhận phí vận chuyển Hà Giang.</t>
  </si>
  <si>
    <t>Khu vực 1: Hà Nội
Khu vực 2: Hà Giang</t>
  </si>
  <si>
    <t>Phí vận chuyển Hà Nội phải được tải thành công.
Phí vận chuyển Hà Giang phải được cập nhật lại và khác với phí vận chuyển của Hà Nội.</t>
  </si>
  <si>
    <t>1. Tạo giỏ hàng chứa sản phẩm cụ thể và vào trang thanh toán.
2. Cuộn xuống khối "Kiểm tra lại đơn hàng".
3. Xác minh tên sản phẩm và hình ảnh.</t>
  </si>
  <si>
    <t>Tên sản phẩm hiển thị chính xác.
Hình ảnh bìa hiển thị thành công.</t>
  </si>
  <si>
    <t>Kiểm tra tính năng hiển thị và chọn quà tặng kèm khi đơn hàng thỏa mãn điều kiện khuyến mãi</t>
  </si>
  <si>
    <t>1. Tạo giỏ hàng với tổng tiền &gt; 150K (đủ điều kiện quà).
2. Tìm phần "Nhận quà/Chọn quà".
3. Bấm vào và chọn 1 món quà.</t>
  </si>
  <si>
    <t>Giỏ hàng &gt; 150K</t>
  </si>
  <si>
    <t>Phần chọn quà tặng hiển thị.Cho phép bấm chọn quà và cập nhật vào đơn hàng.</t>
  </si>
  <si>
    <t>S5: Các tùy chọn bổ sung cho đơn hàng</t>
  </si>
  <si>
    <t>Kiểm tra thao tác ẩn, hiện và khả năng lưu trữ nội dung của khung nhập ghi chú đơn hàng</t>
  </si>
  <si>
    <t>1. Chọn vào ô "Ghi chú". Nhập chữ.
2. Bỏ chọn -&gt; Ô ghi chú ẩn đi.
3. Chọn lại -&gt; Kiểm tra chữ bên trong.</t>
  </si>
  <si>
    <t>Ô nhập ghi chú hiển thị khi được chọn.
Nhập được chữ.
Ẩn đi khi bỏ chọn.</t>
  </si>
  <si>
    <t>Không nhận diện được sản phẩm khi gõ dính phím.</t>
  </si>
  <si>
    <t>Không nhận diện được sản phẩm khi thiếu ký tự (Không tìm thấy sản phẩm).</t>
  </si>
  <si>
    <t>Không nhận diện được sản phẩm khi thừa ký tự.</t>
  </si>
  <si>
    <t>Chuyển đổi trạng thái, Đoán lỗi</t>
  </si>
  <si>
    <t>Kiểm thử theo tình huống sử dụng, Đoán lỗi, Chuyển đổi trạng thái</t>
  </si>
  <si>
    <t>Phân vùng tương đương, Đoán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</si>
</sst>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b/>
      <sz val="11"/>
      <color theme="1"/>
      <name val="Calibri"/>
      <family val="2"/>
      <scheme val="minor"/>
    </font>
    <font>
      <sz val="8"/>
      <name val="Calibri"/>
      <family val="2"/>
      <charset val="163"/>
      <scheme val="minor"/>
    </font>
    <font>
      <sz val="11"/>
      <color theme="1"/>
      <name val="Calibri"/>
      <family val="2"/>
      <scheme val="minor"/>
    </font>
    <font>
      <b/>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2" tint="-0.249977111117893"/>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cellStyleXfs>
  <cellXfs count="28">
    <xf numFmtId="0" fontId="0" fillId="0" borderId="0" xfId="0"/>
    <xf numFmtId="0" fontId="0" fillId="0" borderId="0" xfId="0" applyAlignment="1">
      <alignment vertical="top"/>
    </xf>
    <xf numFmtId="0" fontId="6" fillId="2" borderId="1" xfId="0" applyFont="1" applyFill="1" applyBorder="1" applyAlignment="1">
      <alignment vertical="top" wrapText="1"/>
    </xf>
    <xf numFmtId="0" fontId="6" fillId="2"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8" fillId="0" borderId="1" xfId="0" applyFont="1" applyBorder="1" applyAlignment="1">
      <alignment vertical="top" wrapText="1"/>
    </xf>
    <xf numFmtId="0" fontId="8" fillId="0" borderId="2" xfId="0" applyFont="1" applyBorder="1" applyAlignment="1">
      <alignment vertical="top" wrapText="1"/>
    </xf>
    <xf numFmtId="0" fontId="8" fillId="0" borderId="1" xfId="0" applyFont="1" applyBorder="1" applyAlignment="1">
      <alignment horizontal="center" vertical="top" wrapText="1"/>
    </xf>
    <xf numFmtId="0" fontId="8" fillId="0" borderId="1" xfId="0" applyFont="1" applyBorder="1" applyAlignment="1">
      <alignment vertical="top"/>
    </xf>
    <xf numFmtId="0" fontId="9" fillId="2" borderId="1" xfId="0" applyFont="1" applyFill="1" applyBorder="1" applyAlignment="1">
      <alignment horizontal="center" vertical="top"/>
    </xf>
    <xf numFmtId="0" fontId="10" fillId="2" borderId="1" xfId="0" applyFont="1" applyFill="1" applyBorder="1" applyAlignment="1">
      <alignment horizontal="center" vertical="top"/>
    </xf>
    <xf numFmtId="0" fontId="10" fillId="6" borderId="1" xfId="0" applyFont="1" applyFill="1" applyBorder="1" applyAlignment="1">
      <alignment horizontal="center" vertical="top"/>
    </xf>
    <xf numFmtId="0" fontId="10" fillId="3" borderId="1" xfId="0" applyFont="1" applyFill="1" applyBorder="1" applyAlignment="1">
      <alignment horizontal="center" vertical="top"/>
    </xf>
    <xf numFmtId="0" fontId="10" fillId="4" borderId="1" xfId="0" applyFont="1" applyFill="1" applyBorder="1" applyAlignment="1">
      <alignment horizontal="center" vertical="top"/>
    </xf>
    <xf numFmtId="0" fontId="10" fillId="5" borderId="1" xfId="0" applyFont="1" applyFill="1" applyBorder="1" applyAlignment="1">
      <alignment horizontal="center" vertical="top"/>
    </xf>
    <xf numFmtId="9" fontId="10" fillId="6" borderId="1" xfId="0" applyNumberFormat="1" applyFont="1" applyFill="1" applyBorder="1" applyAlignment="1">
      <alignment horizontal="center" vertical="top"/>
    </xf>
    <xf numFmtId="164" fontId="10" fillId="3" borderId="1" xfId="0" applyNumberFormat="1" applyFont="1" applyFill="1" applyBorder="1" applyAlignment="1">
      <alignment horizontal="center" vertical="top"/>
    </xf>
    <xf numFmtId="164" fontId="10" fillId="4" borderId="1" xfId="0" applyNumberFormat="1" applyFont="1" applyFill="1" applyBorder="1" applyAlignment="1">
      <alignment horizontal="center" vertical="top"/>
    </xf>
    <xf numFmtId="164" fontId="10" fillId="5" borderId="1" xfId="0" applyNumberFormat="1" applyFont="1" applyFill="1" applyBorder="1" applyAlignment="1">
      <alignment horizontal="center" vertical="top"/>
    </xf>
    <xf numFmtId="0" fontId="4" fillId="0" borderId="2" xfId="0" applyFont="1" applyBorder="1" applyAlignment="1">
      <alignment vertical="top" wrapText="1"/>
    </xf>
    <xf numFmtId="0" fontId="4" fillId="0" borderId="1" xfId="0" applyFont="1" applyBorder="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2" fillId="0" borderId="2" xfId="0" applyFont="1" applyBorder="1" applyAlignment="1">
      <alignment vertical="top" wrapText="1"/>
    </xf>
    <xf numFmtId="0" fontId="1" fillId="0" borderId="2" xfId="0" applyFont="1" applyBorder="1" applyAlignment="1">
      <alignment vertical="top" wrapText="1"/>
    </xf>
    <xf numFmtId="0" fontId="6" fillId="3" borderId="1" xfId="0" applyFont="1" applyFill="1" applyBorder="1" applyAlignment="1">
      <alignment horizontal="center" vertical="top" wrapText="1"/>
    </xf>
    <xf numFmtId="0" fontId="1" fillId="0" borderId="1" xfId="0" applyFont="1" applyBorder="1" applyAlignment="1">
      <alignment vertical="top" wrapText="1"/>
    </xf>
  </cellXfs>
  <cellStyles count="2">
    <cellStyle name="Normal" xfId="0" builtinId="0"/>
    <cellStyle name="Normal 2" xfId="1" xr:uid="{6D280D94-7001-4E55-83A9-8BC59BEAFEFA}"/>
  </cellStyles>
  <dxfs count="12">
    <dxf>
      <fill>
        <patternFill>
          <bgColor rgb="FF00B050"/>
        </patternFill>
      </fill>
    </dxf>
    <dxf>
      <font>
        <color rgb="FF9C0006"/>
      </font>
    </dxf>
    <dxf>
      <fill>
        <patternFill>
          <bgColor theme="1" tint="0.499984740745262"/>
        </patternFill>
      </fill>
    </dxf>
    <dxf>
      <fill>
        <patternFill>
          <bgColor rgb="FFFF0000"/>
        </patternFill>
      </fill>
    </dxf>
    <dxf>
      <fill>
        <patternFill>
          <bgColor rgb="FF00B050"/>
        </patternFill>
      </fill>
    </dxf>
    <dxf>
      <font>
        <color rgb="FF9C0006"/>
      </font>
    </dxf>
    <dxf>
      <fill>
        <patternFill>
          <bgColor theme="1" tint="0.499984740745262"/>
        </patternFill>
      </fill>
    </dxf>
    <dxf>
      <fill>
        <patternFill>
          <bgColor rgb="FFFF0000"/>
        </patternFill>
      </fill>
    </dxf>
    <dxf>
      <fill>
        <patternFill>
          <bgColor rgb="FF00B050"/>
        </patternFill>
      </fill>
    </dxf>
    <dxf>
      <font>
        <color rgb="FF9C0006"/>
      </font>
    </dxf>
    <dxf>
      <fill>
        <patternFill>
          <bgColor theme="1" tint="0.49998474074526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28C2-C0D0-4C85-AA21-AC3EA59BEE4A}">
  <dimension ref="B2:G7"/>
  <sheetViews>
    <sheetView tabSelected="1" workbookViewId="0">
      <selection activeCell="E15" sqref="E15"/>
    </sheetView>
  </sheetViews>
  <sheetFormatPr defaultRowHeight="14.5" x14ac:dyDescent="0.35"/>
  <cols>
    <col min="2" max="2" width="22.08984375" customWidth="1"/>
    <col min="3" max="3" width="30.1796875" bestFit="1" customWidth="1"/>
    <col min="4" max="4" width="14" bestFit="1" customWidth="1"/>
    <col min="5" max="5" width="13.1796875" bestFit="1" customWidth="1"/>
    <col min="6" max="6" width="20.1796875" bestFit="1" customWidth="1"/>
    <col min="7" max="7" width="16.90625" bestFit="1" customWidth="1"/>
  </cols>
  <sheetData>
    <row r="2" spans="2:7" ht="18.5" x14ac:dyDescent="0.35">
      <c r="B2" s="10" t="s">
        <v>0</v>
      </c>
      <c r="C2" s="10" t="s">
        <v>1</v>
      </c>
      <c r="D2" s="10" t="s">
        <v>2</v>
      </c>
      <c r="E2" s="10" t="s">
        <v>3</v>
      </c>
      <c r="F2" s="10" t="s">
        <v>4</v>
      </c>
      <c r="G2" s="10" t="s">
        <v>5</v>
      </c>
    </row>
    <row r="3" spans="2:7" ht="18.5" x14ac:dyDescent="0.35">
      <c r="B3" s="11" t="s">
        <v>6</v>
      </c>
      <c r="C3" s="11" t="s">
        <v>7</v>
      </c>
      <c r="D3" s="12">
        <v>18</v>
      </c>
      <c r="E3" s="13">
        <v>13</v>
      </c>
      <c r="F3" s="14">
        <v>4</v>
      </c>
      <c r="G3" s="15">
        <v>0</v>
      </c>
    </row>
    <row r="4" spans="2:7" ht="18.5" x14ac:dyDescent="0.35">
      <c r="B4" s="11" t="s">
        <v>8</v>
      </c>
      <c r="C4" s="11" t="s">
        <v>10</v>
      </c>
      <c r="D4" s="12">
        <v>19</v>
      </c>
      <c r="E4" s="13">
        <v>18</v>
      </c>
      <c r="F4" s="14">
        <v>1</v>
      </c>
      <c r="G4" s="15">
        <v>0</v>
      </c>
    </row>
    <row r="5" spans="2:7" ht="18.5" x14ac:dyDescent="0.35">
      <c r="B5" s="11" t="s">
        <v>9</v>
      </c>
      <c r="C5" s="11" t="s">
        <v>11</v>
      </c>
      <c r="D5" s="12">
        <v>26</v>
      </c>
      <c r="E5" s="13">
        <v>22</v>
      </c>
      <c r="F5" s="14">
        <v>2</v>
      </c>
      <c r="G5" s="15">
        <v>2</v>
      </c>
    </row>
    <row r="6" spans="2:7" ht="18.5" x14ac:dyDescent="0.35">
      <c r="B6" s="11" t="s">
        <v>12</v>
      </c>
      <c r="C6" s="11"/>
      <c r="D6" s="12">
        <f>SUM(D2:D5)</f>
        <v>63</v>
      </c>
      <c r="E6" s="13">
        <f>SUM(E2:E5)</f>
        <v>53</v>
      </c>
      <c r="F6" s="14">
        <f>SUM(F2:F5)</f>
        <v>7</v>
      </c>
      <c r="G6" s="15">
        <f>SUM(G2:G5)</f>
        <v>2</v>
      </c>
    </row>
    <row r="7" spans="2:7" ht="18.5" x14ac:dyDescent="0.35">
      <c r="B7" s="11" t="s">
        <v>176</v>
      </c>
      <c r="C7" s="11"/>
      <c r="D7" s="16">
        <v>1</v>
      </c>
      <c r="E7" s="17">
        <f>E6/$D$6</f>
        <v>0.84126984126984128</v>
      </c>
      <c r="F7" s="18">
        <f>F6/$D6</f>
        <v>0.1111111111111111</v>
      </c>
      <c r="G7" s="19">
        <f>1 - E6/$D6 - F6/$D6</f>
        <v>4.7619047619047616E-2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2F41-4A8B-4AFF-B297-8B357CDA6E84}">
  <dimension ref="B1:J20"/>
  <sheetViews>
    <sheetView zoomScale="75" zoomScaleNormal="75" workbookViewId="0">
      <pane xSplit="9" ySplit="2" topLeftCell="J23" activePane="bottomRight" state="frozen"/>
      <selection pane="topRight" activeCell="J1" sqref="J1"/>
      <selection pane="bottomLeft" activeCell="A3" sqref="A3"/>
      <selection pane="bottomRight" activeCell="G5" sqref="G5"/>
    </sheetView>
  </sheetViews>
  <sheetFormatPr defaultColWidth="8.81640625" defaultRowHeight="14.5" x14ac:dyDescent="0.35"/>
  <cols>
    <col min="1" max="1" width="3.08984375" style="1" customWidth="1"/>
    <col min="2" max="2" width="22.08984375" style="4" customWidth="1"/>
    <col min="3" max="3" width="25.453125" style="4" customWidth="1"/>
    <col min="4" max="4" width="25.1796875" style="4" customWidth="1"/>
    <col min="5" max="5" width="28.90625" style="4" customWidth="1"/>
    <col min="6" max="6" width="36" style="4" customWidth="1"/>
    <col min="7" max="7" width="25" style="4" customWidth="1"/>
    <col min="8" max="8" width="24.81640625" style="4" customWidth="1"/>
    <col min="9" max="9" width="11.453125" style="5" customWidth="1"/>
    <col min="10" max="10" width="21.36328125" style="4" customWidth="1"/>
    <col min="11" max="16384" width="8.81640625" style="1"/>
  </cols>
  <sheetData>
    <row r="1" spans="2:10" x14ac:dyDescent="0.35">
      <c r="B1" s="26" t="s">
        <v>18</v>
      </c>
      <c r="C1" s="26"/>
      <c r="D1" s="26"/>
      <c r="E1" s="26"/>
      <c r="F1" s="26"/>
      <c r="G1" s="26"/>
      <c r="H1" s="26"/>
      <c r="I1" s="26"/>
      <c r="J1" s="26"/>
    </row>
    <row r="2" spans="2:10" ht="15" thickBot="1" x14ac:dyDescent="0.4">
      <c r="B2" s="2" t="s">
        <v>245</v>
      </c>
      <c r="C2" s="2" t="s">
        <v>88</v>
      </c>
      <c r="D2" s="2" t="s">
        <v>89</v>
      </c>
      <c r="E2" s="2" t="s">
        <v>244</v>
      </c>
      <c r="F2" s="2" t="s">
        <v>13</v>
      </c>
      <c r="G2" s="2" t="s">
        <v>14</v>
      </c>
      <c r="H2" s="2" t="s">
        <v>15</v>
      </c>
      <c r="I2" s="3" t="s">
        <v>16</v>
      </c>
      <c r="J2" s="2" t="s">
        <v>17</v>
      </c>
    </row>
    <row r="3" spans="2:10" ht="58.5" thickBot="1" x14ac:dyDescent="0.4">
      <c r="B3" s="6" t="s">
        <v>28</v>
      </c>
      <c r="C3" s="7" t="s">
        <v>238</v>
      </c>
      <c r="D3" s="6" t="s">
        <v>90</v>
      </c>
      <c r="E3" s="7" t="s">
        <v>182</v>
      </c>
      <c r="F3" s="6" t="s">
        <v>39</v>
      </c>
      <c r="G3" s="6" t="s">
        <v>54</v>
      </c>
      <c r="H3" s="6" t="s">
        <v>55</v>
      </c>
      <c r="I3" s="8" t="s">
        <v>26</v>
      </c>
      <c r="J3" s="6"/>
    </row>
    <row r="4" spans="2:10" ht="58.5" thickBot="1" x14ac:dyDescent="0.4">
      <c r="B4" s="6" t="s">
        <v>29</v>
      </c>
      <c r="C4" s="7" t="s">
        <v>238</v>
      </c>
      <c r="D4" s="9" t="s">
        <v>90</v>
      </c>
      <c r="E4" s="7" t="s">
        <v>183</v>
      </c>
      <c r="F4" s="27" t="s">
        <v>40</v>
      </c>
      <c r="G4" s="6" t="s">
        <v>56</v>
      </c>
      <c r="H4" s="6" t="s">
        <v>57</v>
      </c>
      <c r="I4" s="8" t="s">
        <v>26</v>
      </c>
      <c r="J4" s="6"/>
    </row>
    <row r="5" spans="2:10" ht="44" thickBot="1" x14ac:dyDescent="0.4">
      <c r="B5" s="6" t="s">
        <v>30</v>
      </c>
      <c r="C5" s="7" t="s">
        <v>238</v>
      </c>
      <c r="D5" s="9" t="s">
        <v>90</v>
      </c>
      <c r="E5" s="7" t="s">
        <v>184</v>
      </c>
      <c r="F5" s="6" t="s">
        <v>41</v>
      </c>
      <c r="G5" s="6" t="s">
        <v>58</v>
      </c>
      <c r="H5" s="6" t="s">
        <v>59</v>
      </c>
      <c r="I5" s="8" t="s">
        <v>26</v>
      </c>
      <c r="J5" s="6"/>
    </row>
    <row r="6" spans="2:10" ht="58.5" thickBot="1" x14ac:dyDescent="0.4">
      <c r="B6" s="6" t="s">
        <v>31</v>
      </c>
      <c r="C6" s="7" t="s">
        <v>238</v>
      </c>
      <c r="D6" s="6" t="s">
        <v>90</v>
      </c>
      <c r="E6" s="7" t="s">
        <v>185</v>
      </c>
      <c r="F6" s="6" t="s">
        <v>42</v>
      </c>
      <c r="G6" s="6" t="s">
        <v>60</v>
      </c>
      <c r="H6" s="6" t="s">
        <v>61</v>
      </c>
      <c r="I6" s="8" t="s">
        <v>26</v>
      </c>
      <c r="J6" s="6"/>
    </row>
    <row r="7" spans="2:10" ht="58.5" thickBot="1" x14ac:dyDescent="0.4">
      <c r="B7" s="6" t="s">
        <v>32</v>
      </c>
      <c r="C7" s="7" t="s">
        <v>239</v>
      </c>
      <c r="D7" s="6" t="s">
        <v>90</v>
      </c>
      <c r="E7" s="7" t="s">
        <v>186</v>
      </c>
      <c r="F7" s="6" t="s">
        <v>43</v>
      </c>
      <c r="G7" s="6" t="s">
        <v>62</v>
      </c>
      <c r="H7" s="6" t="s">
        <v>63</v>
      </c>
      <c r="I7" s="8" t="s">
        <v>26</v>
      </c>
      <c r="J7" s="6"/>
    </row>
    <row r="8" spans="2:10" ht="44" thickBot="1" x14ac:dyDescent="0.4">
      <c r="B8" s="6" t="s">
        <v>33</v>
      </c>
      <c r="C8" s="7" t="s">
        <v>239</v>
      </c>
      <c r="D8" s="6" t="s">
        <v>177</v>
      </c>
      <c r="E8" s="7" t="s">
        <v>187</v>
      </c>
      <c r="F8" s="6" t="s">
        <v>44</v>
      </c>
      <c r="G8" s="6" t="s">
        <v>64</v>
      </c>
      <c r="H8" s="6" t="s">
        <v>65</v>
      </c>
      <c r="I8" s="8" t="s">
        <v>26</v>
      </c>
      <c r="J8" s="6"/>
    </row>
    <row r="9" spans="2:10" ht="44" thickBot="1" x14ac:dyDescent="0.4">
      <c r="B9" s="6" t="s">
        <v>34</v>
      </c>
      <c r="C9" s="7" t="s">
        <v>239</v>
      </c>
      <c r="D9" s="6" t="s">
        <v>91</v>
      </c>
      <c r="E9" s="20" t="s">
        <v>246</v>
      </c>
      <c r="F9" s="6" t="s">
        <v>45</v>
      </c>
      <c r="G9" s="6" t="s">
        <v>66</v>
      </c>
      <c r="H9" s="6" t="s">
        <v>67</v>
      </c>
      <c r="I9" s="8" t="s">
        <v>26</v>
      </c>
      <c r="J9" s="6"/>
    </row>
    <row r="10" spans="2:10" ht="58.5" thickBot="1" x14ac:dyDescent="0.4">
      <c r="B10" s="6" t="s">
        <v>35</v>
      </c>
      <c r="C10" s="7" t="s">
        <v>239</v>
      </c>
      <c r="D10" s="6" t="s">
        <v>178</v>
      </c>
      <c r="E10" s="7" t="s">
        <v>188</v>
      </c>
      <c r="F10" s="6" t="s">
        <v>46</v>
      </c>
      <c r="G10" s="6" t="s">
        <v>68</v>
      </c>
      <c r="H10" s="6" t="s">
        <v>69</v>
      </c>
      <c r="I10" s="8" t="s">
        <v>26</v>
      </c>
      <c r="J10" s="6"/>
    </row>
    <row r="11" spans="2:10" ht="44" thickBot="1" x14ac:dyDescent="0.4">
      <c r="B11" s="6" t="s">
        <v>36</v>
      </c>
      <c r="C11" s="7" t="s">
        <v>239</v>
      </c>
      <c r="D11" s="9" t="s">
        <v>180</v>
      </c>
      <c r="E11" s="20" t="s">
        <v>247</v>
      </c>
      <c r="F11" s="6" t="s">
        <v>47</v>
      </c>
      <c r="G11" s="6" t="s">
        <v>70</v>
      </c>
      <c r="H11" s="21" t="s">
        <v>71</v>
      </c>
      <c r="I11" s="8" t="s">
        <v>26</v>
      </c>
      <c r="J11" s="6"/>
    </row>
    <row r="12" spans="2:10" ht="94.25" customHeight="1" thickBot="1" x14ac:dyDescent="0.4">
      <c r="B12" s="6" t="s">
        <v>37</v>
      </c>
      <c r="C12" s="7" t="s">
        <v>240</v>
      </c>
      <c r="D12" s="6" t="s">
        <v>179</v>
      </c>
      <c r="E12" s="7" t="s">
        <v>189</v>
      </c>
      <c r="F12" s="6" t="s">
        <v>48</v>
      </c>
      <c r="G12" s="6" t="s">
        <v>72</v>
      </c>
      <c r="H12" s="6" t="s">
        <v>73</v>
      </c>
      <c r="I12" s="8" t="s">
        <v>26</v>
      </c>
      <c r="J12" s="6"/>
    </row>
    <row r="13" spans="2:10" ht="62.4" customHeight="1" thickBot="1" x14ac:dyDescent="0.4">
      <c r="B13" s="6" t="s">
        <v>38</v>
      </c>
      <c r="C13" s="7" t="s">
        <v>240</v>
      </c>
      <c r="D13" s="6" t="s">
        <v>90</v>
      </c>
      <c r="E13" s="7" t="s">
        <v>190</v>
      </c>
      <c r="F13" s="6" t="s">
        <v>49</v>
      </c>
      <c r="G13" s="6" t="s">
        <v>74</v>
      </c>
      <c r="H13" s="6" t="s">
        <v>75</v>
      </c>
      <c r="I13" s="8" t="s">
        <v>26</v>
      </c>
      <c r="J13" s="6"/>
    </row>
    <row r="14" spans="2:10" ht="44" thickBot="1" x14ac:dyDescent="0.4">
      <c r="B14" s="6" t="s">
        <v>19</v>
      </c>
      <c r="C14" s="7" t="s">
        <v>240</v>
      </c>
      <c r="D14" s="6" t="s">
        <v>181</v>
      </c>
      <c r="E14" s="7" t="s">
        <v>191</v>
      </c>
      <c r="F14" s="6" t="s">
        <v>50</v>
      </c>
      <c r="G14" s="6" t="s">
        <v>76</v>
      </c>
      <c r="H14" s="6" t="s">
        <v>77</v>
      </c>
      <c r="I14" s="8" t="s">
        <v>26</v>
      </c>
      <c r="J14" s="6"/>
    </row>
    <row r="15" spans="2:10" ht="66.650000000000006" customHeight="1" thickBot="1" x14ac:dyDescent="0.4">
      <c r="B15" s="6" t="s">
        <v>21</v>
      </c>
      <c r="C15" s="7" t="s">
        <v>241</v>
      </c>
      <c r="D15" s="6" t="s">
        <v>92</v>
      </c>
      <c r="E15" s="7" t="s">
        <v>192</v>
      </c>
      <c r="F15" s="6" t="s">
        <v>51</v>
      </c>
      <c r="G15" s="6" t="s">
        <v>78</v>
      </c>
      <c r="H15" s="6" t="s">
        <v>79</v>
      </c>
      <c r="I15" s="8" t="s">
        <v>27</v>
      </c>
      <c r="J15" s="6" t="s">
        <v>80</v>
      </c>
    </row>
    <row r="16" spans="2:10" ht="58.5" thickBot="1" x14ac:dyDescent="0.4">
      <c r="B16" s="6" t="s">
        <v>22</v>
      </c>
      <c r="C16" s="7" t="s">
        <v>242</v>
      </c>
      <c r="D16" s="6" t="s">
        <v>177</v>
      </c>
      <c r="E16" s="20" t="s">
        <v>248</v>
      </c>
      <c r="F16" s="21" t="s">
        <v>249</v>
      </c>
      <c r="G16" s="6" t="s">
        <v>81</v>
      </c>
      <c r="H16" s="6" t="s">
        <v>82</v>
      </c>
      <c r="I16" s="8" t="s">
        <v>27</v>
      </c>
      <c r="J16" s="23" t="s">
        <v>376</v>
      </c>
    </row>
    <row r="17" spans="2:10" ht="55.25" customHeight="1" thickBot="1" x14ac:dyDescent="0.4">
      <c r="B17" s="6" t="s">
        <v>20</v>
      </c>
      <c r="C17" s="7" t="s">
        <v>242</v>
      </c>
      <c r="D17" s="6" t="s">
        <v>177</v>
      </c>
      <c r="E17" s="20" t="s">
        <v>250</v>
      </c>
      <c r="F17" s="21" t="s">
        <v>251</v>
      </c>
      <c r="G17" s="6" t="s">
        <v>83</v>
      </c>
      <c r="H17" s="6" t="s">
        <v>84</v>
      </c>
      <c r="I17" s="8" t="s">
        <v>27</v>
      </c>
      <c r="J17" s="23" t="s">
        <v>377</v>
      </c>
    </row>
    <row r="18" spans="2:10" ht="44" thickBot="1" x14ac:dyDescent="0.4">
      <c r="B18" s="6" t="s">
        <v>23</v>
      </c>
      <c r="C18" s="7" t="s">
        <v>242</v>
      </c>
      <c r="D18" s="6" t="s">
        <v>177</v>
      </c>
      <c r="E18" s="20" t="s">
        <v>252</v>
      </c>
      <c r="F18" s="21" t="s">
        <v>253</v>
      </c>
      <c r="G18" s="6" t="s">
        <v>86</v>
      </c>
      <c r="H18" s="6" t="s">
        <v>84</v>
      </c>
      <c r="I18" s="8" t="s">
        <v>26</v>
      </c>
      <c r="J18" s="6"/>
    </row>
    <row r="19" spans="2:10" ht="44" thickBot="1" x14ac:dyDescent="0.4">
      <c r="B19" s="6" t="s">
        <v>24</v>
      </c>
      <c r="C19" s="7" t="s">
        <v>242</v>
      </c>
      <c r="D19" s="6" t="s">
        <v>177</v>
      </c>
      <c r="E19" s="20" t="s">
        <v>254</v>
      </c>
      <c r="F19" s="6" t="s">
        <v>52</v>
      </c>
      <c r="G19" s="6" t="s">
        <v>85</v>
      </c>
      <c r="H19" s="6" t="s">
        <v>84</v>
      </c>
      <c r="I19" s="8" t="s">
        <v>27</v>
      </c>
      <c r="J19" s="23" t="s">
        <v>375</v>
      </c>
    </row>
    <row r="20" spans="2:10" ht="44" thickBot="1" x14ac:dyDescent="0.4">
      <c r="B20" s="6" t="s">
        <v>25</v>
      </c>
      <c r="C20" s="7" t="s">
        <v>242</v>
      </c>
      <c r="D20" s="6" t="s">
        <v>178</v>
      </c>
      <c r="E20" s="20" t="s">
        <v>255</v>
      </c>
      <c r="F20" s="6" t="s">
        <v>53</v>
      </c>
      <c r="G20" s="6" t="s">
        <v>87</v>
      </c>
      <c r="H20" s="6" t="s">
        <v>84</v>
      </c>
      <c r="I20" s="8" t="s">
        <v>26</v>
      </c>
      <c r="J20" s="6"/>
    </row>
  </sheetData>
  <mergeCells count="1">
    <mergeCell ref="B1:J1"/>
  </mergeCells>
  <conditionalFormatting sqref="I1:I1048576">
    <cfRule type="cellIs" dxfId="11" priority="1" operator="equal">
      <formula>"FAIL"</formula>
    </cfRule>
    <cfRule type="cellIs" dxfId="10" priority="2" operator="equal">
      <formula>"SKIP"</formula>
    </cfRule>
    <cfRule type="cellIs" dxfId="9" priority="3" operator="equal">
      <formula>"FAIL"</formula>
    </cfRule>
    <cfRule type="cellIs" dxfId="8" priority="4" operator="equal">
      <formula>"PASS"</formula>
    </cfRule>
  </conditionalFormatting>
  <dataValidations count="1">
    <dataValidation type="list" allowBlank="1" showInputMessage="1" showErrorMessage="1" sqref="I1:I1048576" xr:uid="{F810C10D-5948-4C8F-AF7B-0245A7AD7161}">
      <formula1>"PASS, FAIL, SKIP"</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3E99-EAE5-426E-AD9A-A79CC7118991}">
  <dimension ref="B1:J21"/>
  <sheetViews>
    <sheetView zoomScale="80" zoomScaleNormal="80" workbookViewId="0">
      <pane xSplit="9" ySplit="2" topLeftCell="J21" activePane="bottomRight" state="frozen"/>
      <selection pane="topRight" activeCell="J1" sqref="J1"/>
      <selection pane="bottomLeft" activeCell="A3" sqref="A3"/>
      <selection pane="bottomRight" activeCell="B3" sqref="B3"/>
    </sheetView>
  </sheetViews>
  <sheetFormatPr defaultColWidth="8.81640625" defaultRowHeight="14.5" x14ac:dyDescent="0.35"/>
  <cols>
    <col min="1" max="1" width="3.08984375" style="1" customWidth="1"/>
    <col min="2" max="2" width="18.81640625" style="4" customWidth="1"/>
    <col min="3" max="3" width="21.81640625" style="4" customWidth="1"/>
    <col min="4" max="4" width="23" style="4" customWidth="1"/>
    <col min="5" max="5" width="26.1796875" style="4" customWidth="1"/>
    <col min="6" max="6" width="34.90625" style="4" customWidth="1"/>
    <col min="7" max="7" width="24.54296875" style="4" customWidth="1"/>
    <col min="8" max="8" width="29.36328125" style="4" customWidth="1"/>
    <col min="9" max="9" width="8.81640625" style="5"/>
    <col min="10" max="10" width="21.36328125" style="4" customWidth="1"/>
    <col min="11" max="16384" width="8.81640625" style="1"/>
  </cols>
  <sheetData>
    <row r="1" spans="2:10" x14ac:dyDescent="0.35">
      <c r="B1" s="26" t="s">
        <v>93</v>
      </c>
      <c r="C1" s="26"/>
      <c r="D1" s="26"/>
      <c r="E1" s="26"/>
      <c r="F1" s="26"/>
      <c r="G1" s="26"/>
      <c r="H1" s="26"/>
      <c r="I1" s="26"/>
      <c r="J1" s="26"/>
    </row>
    <row r="2" spans="2:10" ht="15" thickBot="1" x14ac:dyDescent="0.4">
      <c r="B2" s="2" t="s">
        <v>245</v>
      </c>
      <c r="C2" s="2" t="s">
        <v>88</v>
      </c>
      <c r="D2" s="2" t="s">
        <v>89</v>
      </c>
      <c r="E2" s="2" t="s">
        <v>244</v>
      </c>
      <c r="F2" s="2" t="s">
        <v>13</v>
      </c>
      <c r="G2" s="2" t="s">
        <v>14</v>
      </c>
      <c r="H2" s="2" t="s">
        <v>15</v>
      </c>
      <c r="I2" s="3" t="s">
        <v>16</v>
      </c>
      <c r="J2" s="2" t="s">
        <v>17</v>
      </c>
    </row>
    <row r="3" spans="2:10" ht="71" customHeight="1" thickBot="1" x14ac:dyDescent="0.4">
      <c r="B3" s="6" t="s">
        <v>94</v>
      </c>
      <c r="C3" s="7" t="s">
        <v>232</v>
      </c>
      <c r="D3" s="20" t="s">
        <v>256</v>
      </c>
      <c r="E3" s="7" t="s">
        <v>196</v>
      </c>
      <c r="F3" s="20" t="s">
        <v>259</v>
      </c>
      <c r="G3" s="7" t="s">
        <v>113</v>
      </c>
      <c r="H3" s="20" t="s">
        <v>258</v>
      </c>
      <c r="I3" s="8" t="s">
        <v>26</v>
      </c>
      <c r="J3" s="6"/>
    </row>
    <row r="4" spans="2:10" ht="62.5" customHeight="1" thickBot="1" x14ac:dyDescent="0.4">
      <c r="B4" s="6" t="s">
        <v>95</v>
      </c>
      <c r="C4" s="7" t="s">
        <v>232</v>
      </c>
      <c r="D4" s="7" t="s">
        <v>256</v>
      </c>
      <c r="E4" s="7" t="s">
        <v>197</v>
      </c>
      <c r="F4" s="7" t="s">
        <v>124</v>
      </c>
      <c r="G4" s="7" t="s">
        <v>114</v>
      </c>
      <c r="H4" s="7" t="s">
        <v>126</v>
      </c>
      <c r="I4" s="8" t="s">
        <v>26</v>
      </c>
      <c r="J4" s="6"/>
    </row>
    <row r="5" spans="2:10" ht="102" thickBot="1" x14ac:dyDescent="0.4">
      <c r="B5" s="6" t="s">
        <v>96</v>
      </c>
      <c r="C5" s="7" t="s">
        <v>232</v>
      </c>
      <c r="D5" s="7" t="s">
        <v>256</v>
      </c>
      <c r="E5" s="7" t="s">
        <v>198</v>
      </c>
      <c r="F5" s="20" t="s">
        <v>260</v>
      </c>
      <c r="G5" s="20" t="s">
        <v>261</v>
      </c>
      <c r="H5" s="20" t="s">
        <v>262</v>
      </c>
      <c r="I5" s="8" t="s">
        <v>26</v>
      </c>
      <c r="J5" s="6"/>
    </row>
    <row r="6" spans="2:10" ht="87.5" thickBot="1" x14ac:dyDescent="0.4">
      <c r="B6" s="6" t="s">
        <v>97</v>
      </c>
      <c r="C6" s="25" t="s">
        <v>232</v>
      </c>
      <c r="D6" s="24" t="s">
        <v>378</v>
      </c>
      <c r="E6" s="7" t="s">
        <v>199</v>
      </c>
      <c r="F6" s="20" t="s">
        <v>265</v>
      </c>
      <c r="G6" s="7" t="s">
        <v>243</v>
      </c>
      <c r="H6" s="20" t="s">
        <v>263</v>
      </c>
      <c r="I6" s="8" t="s">
        <v>27</v>
      </c>
      <c r="J6" s="21" t="s">
        <v>264</v>
      </c>
    </row>
    <row r="7" spans="2:10" ht="58.5" thickBot="1" x14ac:dyDescent="0.4">
      <c r="B7" s="6" t="s">
        <v>98</v>
      </c>
      <c r="C7" s="7" t="s">
        <v>233</v>
      </c>
      <c r="D7" s="7" t="s">
        <v>193</v>
      </c>
      <c r="E7" s="7" t="s">
        <v>200</v>
      </c>
      <c r="F7" s="20" t="s">
        <v>266</v>
      </c>
      <c r="G7" s="7" t="s">
        <v>115</v>
      </c>
      <c r="H7" s="20" t="s">
        <v>267</v>
      </c>
      <c r="I7" s="8" t="s">
        <v>26</v>
      </c>
      <c r="J7" s="6"/>
    </row>
    <row r="8" spans="2:10" ht="58.5" thickBot="1" x14ac:dyDescent="0.4">
      <c r="B8" s="6" t="s">
        <v>99</v>
      </c>
      <c r="C8" s="7" t="s">
        <v>233</v>
      </c>
      <c r="D8" s="7" t="s">
        <v>193</v>
      </c>
      <c r="E8" s="7" t="s">
        <v>201</v>
      </c>
      <c r="F8" s="20" t="s">
        <v>268</v>
      </c>
      <c r="G8" s="7" t="s">
        <v>116</v>
      </c>
      <c r="H8" s="20" t="s">
        <v>269</v>
      </c>
      <c r="I8" s="8" t="s">
        <v>26</v>
      </c>
      <c r="J8" s="6"/>
    </row>
    <row r="9" spans="2:10" ht="64.75" customHeight="1" thickBot="1" x14ac:dyDescent="0.4">
      <c r="B9" s="21" t="s">
        <v>100</v>
      </c>
      <c r="C9" s="7" t="s">
        <v>234</v>
      </c>
      <c r="D9" s="7" t="s">
        <v>257</v>
      </c>
      <c r="E9" s="7" t="s">
        <v>202</v>
      </c>
      <c r="F9" s="20" t="s">
        <v>270</v>
      </c>
      <c r="G9" s="20" t="s">
        <v>117</v>
      </c>
      <c r="H9" s="20" t="s">
        <v>271</v>
      </c>
      <c r="I9" s="8" t="s">
        <v>26</v>
      </c>
      <c r="J9" s="6"/>
    </row>
    <row r="10" spans="2:10" ht="79.75" customHeight="1" thickBot="1" x14ac:dyDescent="0.4">
      <c r="B10" s="6" t="s">
        <v>101</v>
      </c>
      <c r="C10" s="7" t="s">
        <v>234</v>
      </c>
      <c r="D10" s="7" t="s">
        <v>257</v>
      </c>
      <c r="E10" s="7" t="s">
        <v>203</v>
      </c>
      <c r="F10" s="20" t="s">
        <v>272</v>
      </c>
      <c r="G10" s="7" t="s">
        <v>118</v>
      </c>
      <c r="H10" s="20" t="s">
        <v>273</v>
      </c>
      <c r="I10" s="8" t="s">
        <v>26</v>
      </c>
      <c r="J10" s="6"/>
    </row>
    <row r="11" spans="2:10" ht="109.75" customHeight="1" thickBot="1" x14ac:dyDescent="0.4">
      <c r="B11" s="6" t="s">
        <v>102</v>
      </c>
      <c r="C11" s="7" t="s">
        <v>234</v>
      </c>
      <c r="D11" s="7" t="s">
        <v>257</v>
      </c>
      <c r="E11" s="7" t="s">
        <v>204</v>
      </c>
      <c r="F11" s="20" t="s">
        <v>274</v>
      </c>
      <c r="G11" s="20" t="s">
        <v>275</v>
      </c>
      <c r="H11" s="20" t="s">
        <v>276</v>
      </c>
      <c r="I11" s="8" t="s">
        <v>26</v>
      </c>
      <c r="J11" s="6"/>
    </row>
    <row r="12" spans="2:10" ht="44.5" customHeight="1" thickBot="1" x14ac:dyDescent="0.4">
      <c r="B12" s="6" t="s">
        <v>103</v>
      </c>
      <c r="C12" s="7" t="s">
        <v>234</v>
      </c>
      <c r="D12" s="7" t="s">
        <v>257</v>
      </c>
      <c r="E12" s="7" t="s">
        <v>205</v>
      </c>
      <c r="F12" s="7" t="s">
        <v>125</v>
      </c>
      <c r="G12" s="7" t="s">
        <v>119</v>
      </c>
      <c r="H12" s="7" t="s">
        <v>122</v>
      </c>
      <c r="I12" s="8" t="s">
        <v>26</v>
      </c>
      <c r="J12" s="6"/>
    </row>
    <row r="13" spans="2:10" ht="79.25" customHeight="1" thickBot="1" x14ac:dyDescent="0.4">
      <c r="B13" s="6" t="s">
        <v>104</v>
      </c>
      <c r="C13" s="7" t="s">
        <v>234</v>
      </c>
      <c r="D13" s="25" t="s">
        <v>380</v>
      </c>
      <c r="E13" s="7" t="s">
        <v>206</v>
      </c>
      <c r="F13" s="20" t="s">
        <v>277</v>
      </c>
      <c r="G13" s="7" t="s">
        <v>120</v>
      </c>
      <c r="H13" s="20" t="s">
        <v>278</v>
      </c>
      <c r="I13" s="8" t="s">
        <v>26</v>
      </c>
      <c r="J13" s="6"/>
    </row>
    <row r="14" spans="2:10" ht="79.25" customHeight="1" thickBot="1" x14ac:dyDescent="0.4">
      <c r="B14" s="6" t="s">
        <v>105</v>
      </c>
      <c r="C14" s="7" t="s">
        <v>235</v>
      </c>
      <c r="D14" s="20" t="s">
        <v>194</v>
      </c>
      <c r="E14" s="7" t="s">
        <v>207</v>
      </c>
      <c r="F14" s="20" t="s">
        <v>285</v>
      </c>
      <c r="G14" s="20" t="s">
        <v>279</v>
      </c>
      <c r="H14" s="20" t="s">
        <v>280</v>
      </c>
      <c r="I14" s="8" t="s">
        <v>26</v>
      </c>
      <c r="J14" s="6"/>
    </row>
    <row r="15" spans="2:10" ht="60" customHeight="1" thickBot="1" x14ac:dyDescent="0.4">
      <c r="B15" s="6" t="s">
        <v>106</v>
      </c>
      <c r="C15" s="20" t="s">
        <v>235</v>
      </c>
      <c r="D15" s="7" t="s">
        <v>194</v>
      </c>
      <c r="E15" s="7" t="s">
        <v>208</v>
      </c>
      <c r="F15" s="20" t="s">
        <v>284</v>
      </c>
      <c r="G15" s="20" t="s">
        <v>281</v>
      </c>
      <c r="H15" s="20" t="s">
        <v>282</v>
      </c>
      <c r="I15" s="8" t="s">
        <v>26</v>
      </c>
      <c r="J15" s="6"/>
    </row>
    <row r="16" spans="2:10" ht="60" customHeight="1" thickBot="1" x14ac:dyDescent="0.4">
      <c r="B16" s="6" t="s">
        <v>107</v>
      </c>
      <c r="C16" s="7" t="s">
        <v>235</v>
      </c>
      <c r="D16" s="7" t="s">
        <v>194</v>
      </c>
      <c r="E16" s="7" t="s">
        <v>209</v>
      </c>
      <c r="F16" s="20" t="s">
        <v>283</v>
      </c>
      <c r="G16" s="20" t="s">
        <v>286</v>
      </c>
      <c r="H16" s="20" t="s">
        <v>332</v>
      </c>
      <c r="I16" s="8" t="s">
        <v>26</v>
      </c>
      <c r="J16" s="6"/>
    </row>
    <row r="17" spans="2:10" ht="115.75" customHeight="1" thickBot="1" x14ac:dyDescent="0.4">
      <c r="B17" s="6" t="s">
        <v>108</v>
      </c>
      <c r="C17" s="7" t="s">
        <v>235</v>
      </c>
      <c r="D17" s="7" t="s">
        <v>194</v>
      </c>
      <c r="E17" s="7" t="s">
        <v>210</v>
      </c>
      <c r="F17" s="20" t="s">
        <v>287</v>
      </c>
      <c r="G17" s="20" t="s">
        <v>288</v>
      </c>
      <c r="H17" s="20" t="s">
        <v>333</v>
      </c>
      <c r="I17" s="8" t="s">
        <v>26</v>
      </c>
      <c r="J17" s="6"/>
    </row>
    <row r="18" spans="2:10" ht="44" thickBot="1" x14ac:dyDescent="0.4">
      <c r="B18" s="6" t="s">
        <v>109</v>
      </c>
      <c r="C18" s="7" t="s">
        <v>236</v>
      </c>
      <c r="D18" s="7" t="s">
        <v>195</v>
      </c>
      <c r="E18" s="7" t="s">
        <v>211</v>
      </c>
      <c r="F18" s="20" t="s">
        <v>289</v>
      </c>
      <c r="G18" s="7" t="s">
        <v>115</v>
      </c>
      <c r="H18" s="7" t="s">
        <v>215</v>
      </c>
      <c r="I18" s="8" t="s">
        <v>26</v>
      </c>
      <c r="J18" s="6"/>
    </row>
    <row r="19" spans="2:10" ht="58.25" customHeight="1" thickBot="1" x14ac:dyDescent="0.4">
      <c r="B19" s="6" t="s">
        <v>110</v>
      </c>
      <c r="C19" s="7" t="s">
        <v>236</v>
      </c>
      <c r="D19" s="7" t="s">
        <v>195</v>
      </c>
      <c r="E19" s="7" t="s">
        <v>212</v>
      </c>
      <c r="F19" s="20" t="s">
        <v>290</v>
      </c>
      <c r="G19" s="7" t="s">
        <v>121</v>
      </c>
      <c r="H19" s="20" t="s">
        <v>291</v>
      </c>
      <c r="I19" s="8" t="s">
        <v>26</v>
      </c>
      <c r="J19" s="6"/>
    </row>
    <row r="20" spans="2:10" ht="73" thickBot="1" x14ac:dyDescent="0.4">
      <c r="B20" s="6" t="s">
        <v>111</v>
      </c>
      <c r="C20" s="7" t="s">
        <v>237</v>
      </c>
      <c r="D20" s="25" t="s">
        <v>379</v>
      </c>
      <c r="E20" s="24" t="s">
        <v>213</v>
      </c>
      <c r="F20" s="20" t="s">
        <v>296</v>
      </c>
      <c r="G20" s="20" t="s">
        <v>292</v>
      </c>
      <c r="H20" s="7" t="s">
        <v>123</v>
      </c>
      <c r="I20" s="8" t="s">
        <v>26</v>
      </c>
      <c r="J20" s="6"/>
    </row>
    <row r="21" spans="2:10" ht="58.5" thickBot="1" x14ac:dyDescent="0.4">
      <c r="B21" s="6" t="s">
        <v>112</v>
      </c>
      <c r="C21" s="7" t="s">
        <v>237</v>
      </c>
      <c r="D21" s="25" t="s">
        <v>379</v>
      </c>
      <c r="E21" s="7" t="s">
        <v>214</v>
      </c>
      <c r="F21" s="20" t="s">
        <v>293</v>
      </c>
      <c r="G21" s="20" t="s">
        <v>294</v>
      </c>
      <c r="H21" s="20" t="s">
        <v>295</v>
      </c>
      <c r="I21" s="8" t="s">
        <v>26</v>
      </c>
      <c r="J21" s="6"/>
    </row>
  </sheetData>
  <mergeCells count="1">
    <mergeCell ref="B1:J1"/>
  </mergeCells>
  <phoneticPr fontId="7" type="noConversion"/>
  <conditionalFormatting sqref="I1:I1048576">
    <cfRule type="cellIs" dxfId="7" priority="1" operator="equal">
      <formula>"FAIL"</formula>
    </cfRule>
    <cfRule type="cellIs" dxfId="6" priority="3" operator="equal">
      <formula>"SKIP"</formula>
    </cfRule>
    <cfRule type="cellIs" dxfId="5" priority="5" operator="equal">
      <formula>"FAIL"</formula>
    </cfRule>
    <cfRule type="cellIs" dxfId="4" priority="6" operator="equal">
      <formula>"PASS"</formula>
    </cfRule>
  </conditionalFormatting>
  <dataValidations count="1">
    <dataValidation type="list" allowBlank="1" showInputMessage="1" showErrorMessage="1" sqref="I1:I1048576" xr:uid="{2A61DB41-19AB-49E3-9FA0-80691EC22258}">
      <formula1>"PASS, FAIL, SKIP"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4674-902F-4FEF-B713-34F9693F32B6}">
  <dimension ref="B1:J28"/>
  <sheetViews>
    <sheetView zoomScale="78" zoomScaleNormal="78" workbookViewId="0">
      <pane xSplit="9" ySplit="2" topLeftCell="J28" activePane="bottomRight" state="frozen"/>
      <selection pane="topRight" activeCell="J1" sqref="J1"/>
      <selection pane="bottomLeft" activeCell="A3" sqref="A3"/>
      <selection pane="bottomRight" activeCell="B3" sqref="B3"/>
    </sheetView>
  </sheetViews>
  <sheetFormatPr defaultColWidth="8.81640625" defaultRowHeight="14.5" x14ac:dyDescent="0.35"/>
  <cols>
    <col min="1" max="1" width="3.08984375" style="1" customWidth="1"/>
    <col min="2" max="2" width="21.1796875" style="4" customWidth="1"/>
    <col min="3" max="3" width="21.81640625" style="4" customWidth="1"/>
    <col min="4" max="4" width="23" style="4" customWidth="1"/>
    <col min="5" max="5" width="26.1796875" style="4" customWidth="1"/>
    <col min="6" max="6" width="34.90625" style="4" customWidth="1"/>
    <col min="7" max="7" width="24.54296875" style="4" customWidth="1"/>
    <col min="8" max="8" width="27.81640625" style="4" customWidth="1"/>
    <col min="9" max="9" width="8.81640625" style="5"/>
    <col min="10" max="10" width="21.36328125" style="4" customWidth="1"/>
    <col min="11" max="16384" width="8.81640625" style="1"/>
  </cols>
  <sheetData>
    <row r="1" spans="2:10" x14ac:dyDescent="0.35">
      <c r="B1" s="26" t="s">
        <v>127</v>
      </c>
      <c r="C1" s="26"/>
      <c r="D1" s="26"/>
      <c r="E1" s="26"/>
      <c r="F1" s="26"/>
      <c r="G1" s="26"/>
      <c r="H1" s="26"/>
      <c r="I1" s="26"/>
      <c r="J1" s="26"/>
    </row>
    <row r="2" spans="2:10" ht="15" thickBot="1" x14ac:dyDescent="0.4">
      <c r="B2" s="2" t="s">
        <v>245</v>
      </c>
      <c r="C2" s="2" t="s">
        <v>88</v>
      </c>
      <c r="D2" s="2" t="s">
        <v>89</v>
      </c>
      <c r="E2" s="2" t="s">
        <v>244</v>
      </c>
      <c r="F2" s="2" t="s">
        <v>13</v>
      </c>
      <c r="G2" s="2" t="s">
        <v>14</v>
      </c>
      <c r="H2" s="2" t="s">
        <v>15</v>
      </c>
      <c r="I2" s="3" t="s">
        <v>16</v>
      </c>
      <c r="J2" s="2" t="s">
        <v>17</v>
      </c>
    </row>
    <row r="3" spans="2:10" ht="124.25" customHeight="1" thickBot="1" x14ac:dyDescent="0.4">
      <c r="B3" s="7" t="s">
        <v>128</v>
      </c>
      <c r="C3" s="20" t="s">
        <v>297</v>
      </c>
      <c r="D3" s="7" t="s">
        <v>90</v>
      </c>
      <c r="E3" s="7" t="s">
        <v>217</v>
      </c>
      <c r="F3" s="20" t="s">
        <v>298</v>
      </c>
      <c r="G3" s="20" t="s">
        <v>300</v>
      </c>
      <c r="H3" s="20" t="s">
        <v>299</v>
      </c>
      <c r="I3" s="8" t="s">
        <v>26</v>
      </c>
      <c r="J3" s="6"/>
    </row>
    <row r="4" spans="2:10" ht="58.5" thickBot="1" x14ac:dyDescent="0.4">
      <c r="B4" s="7" t="s">
        <v>129</v>
      </c>
      <c r="C4" s="20" t="s">
        <v>297</v>
      </c>
      <c r="D4" s="7" t="s">
        <v>90</v>
      </c>
      <c r="E4" s="7" t="s">
        <v>218</v>
      </c>
      <c r="F4" s="20" t="s">
        <v>302</v>
      </c>
      <c r="G4" s="20" t="s">
        <v>301</v>
      </c>
      <c r="H4" s="20" t="s">
        <v>305</v>
      </c>
      <c r="I4" s="8" t="s">
        <v>26</v>
      </c>
      <c r="J4" s="6"/>
    </row>
    <row r="5" spans="2:10" ht="58.5" thickBot="1" x14ac:dyDescent="0.4">
      <c r="B5" s="7" t="s">
        <v>130</v>
      </c>
      <c r="C5" s="20" t="s">
        <v>297</v>
      </c>
      <c r="D5" s="7" t="s">
        <v>180</v>
      </c>
      <c r="E5" s="7" t="s">
        <v>219</v>
      </c>
      <c r="F5" s="7" t="s">
        <v>230</v>
      </c>
      <c r="G5" s="7" t="s">
        <v>154</v>
      </c>
      <c r="H5" s="7" t="s">
        <v>155</v>
      </c>
      <c r="I5" s="8" t="s">
        <v>26</v>
      </c>
      <c r="J5" s="6"/>
    </row>
    <row r="6" spans="2:10" ht="76.75" customHeight="1" thickBot="1" x14ac:dyDescent="0.4">
      <c r="B6" s="7" t="s">
        <v>131</v>
      </c>
      <c r="C6" s="20" t="s">
        <v>297</v>
      </c>
      <c r="D6" s="7" t="s">
        <v>180</v>
      </c>
      <c r="E6" s="7" t="s">
        <v>220</v>
      </c>
      <c r="F6" s="20" t="s">
        <v>303</v>
      </c>
      <c r="G6" s="20" t="s">
        <v>304</v>
      </c>
      <c r="H6" s="20" t="s">
        <v>306</v>
      </c>
      <c r="I6" s="8" t="s">
        <v>26</v>
      </c>
      <c r="J6" s="6"/>
    </row>
    <row r="7" spans="2:10" ht="73" thickBot="1" x14ac:dyDescent="0.4">
      <c r="B7" s="7" t="s">
        <v>132</v>
      </c>
      <c r="C7" s="20" t="s">
        <v>297</v>
      </c>
      <c r="D7" s="7" t="s">
        <v>178</v>
      </c>
      <c r="E7" s="20" t="s">
        <v>307</v>
      </c>
      <c r="F7" s="20" t="s">
        <v>309</v>
      </c>
      <c r="G7" s="7" t="s">
        <v>156</v>
      </c>
      <c r="H7" s="7" t="s">
        <v>157</v>
      </c>
      <c r="I7" s="8" t="s">
        <v>27</v>
      </c>
      <c r="J7" s="22" t="s">
        <v>308</v>
      </c>
    </row>
    <row r="8" spans="2:10" ht="88.25" customHeight="1" thickBot="1" x14ac:dyDescent="0.4">
      <c r="B8" s="7" t="s">
        <v>133</v>
      </c>
      <c r="C8" s="20" t="s">
        <v>297</v>
      </c>
      <c r="D8" s="7" t="s">
        <v>90</v>
      </c>
      <c r="E8" s="7" t="s">
        <v>221</v>
      </c>
      <c r="F8" s="20" t="s">
        <v>310</v>
      </c>
      <c r="G8" s="7" t="s">
        <v>158</v>
      </c>
      <c r="H8" s="20" t="s">
        <v>311</v>
      </c>
      <c r="I8" s="8" t="s">
        <v>26</v>
      </c>
      <c r="J8" s="6"/>
    </row>
    <row r="9" spans="2:10" ht="94.75" customHeight="1" thickBot="1" x14ac:dyDescent="0.4">
      <c r="B9" s="7" t="s">
        <v>134</v>
      </c>
      <c r="C9" s="20" t="s">
        <v>297</v>
      </c>
      <c r="D9" s="7" t="s">
        <v>178</v>
      </c>
      <c r="E9" s="20" t="s">
        <v>312</v>
      </c>
      <c r="F9" s="20" t="s">
        <v>313</v>
      </c>
      <c r="G9" s="7" t="s">
        <v>159</v>
      </c>
      <c r="H9" s="20" t="s">
        <v>314</v>
      </c>
      <c r="I9" s="8" t="s">
        <v>27</v>
      </c>
      <c r="J9" s="21" t="s">
        <v>315</v>
      </c>
    </row>
    <row r="10" spans="2:10" ht="84" customHeight="1" thickBot="1" x14ac:dyDescent="0.4">
      <c r="B10" s="7" t="s">
        <v>135</v>
      </c>
      <c r="C10" s="20" t="s">
        <v>297</v>
      </c>
      <c r="D10" s="7" t="s">
        <v>181</v>
      </c>
      <c r="E10" s="20" t="s">
        <v>316</v>
      </c>
      <c r="F10" s="20" t="s">
        <v>317</v>
      </c>
      <c r="G10" s="20" t="s">
        <v>318</v>
      </c>
      <c r="H10" s="20" t="s">
        <v>319</v>
      </c>
      <c r="I10" s="8" t="s">
        <v>26</v>
      </c>
      <c r="J10" s="6"/>
    </row>
    <row r="11" spans="2:10" ht="65.400000000000006" customHeight="1" thickBot="1" x14ac:dyDescent="0.4">
      <c r="B11" s="7" t="s">
        <v>136</v>
      </c>
      <c r="C11" s="20" t="s">
        <v>297</v>
      </c>
      <c r="D11" s="7" t="s">
        <v>216</v>
      </c>
      <c r="E11" s="20" t="s">
        <v>320</v>
      </c>
      <c r="F11" s="20" t="s">
        <v>321</v>
      </c>
      <c r="G11" s="7" t="s">
        <v>160</v>
      </c>
      <c r="H11" s="20" t="s">
        <v>322</v>
      </c>
      <c r="I11" s="8" t="s">
        <v>26</v>
      </c>
      <c r="J11" s="6"/>
    </row>
    <row r="12" spans="2:10" ht="76.25" customHeight="1" thickBot="1" x14ac:dyDescent="0.4">
      <c r="B12" s="7" t="s">
        <v>137</v>
      </c>
      <c r="C12" s="20" t="s">
        <v>297</v>
      </c>
      <c r="D12" s="7" t="s">
        <v>90</v>
      </c>
      <c r="E12" s="20" t="s">
        <v>323</v>
      </c>
      <c r="F12" s="20" t="s">
        <v>324</v>
      </c>
      <c r="G12" s="7" t="s">
        <v>161</v>
      </c>
      <c r="H12" s="20" t="s">
        <v>325</v>
      </c>
      <c r="I12" s="8" t="s">
        <v>26</v>
      </c>
      <c r="J12" s="6"/>
    </row>
    <row r="13" spans="2:10" ht="67.25" customHeight="1" thickBot="1" x14ac:dyDescent="0.4">
      <c r="B13" s="7" t="s">
        <v>138</v>
      </c>
      <c r="C13" s="20" t="s">
        <v>297</v>
      </c>
      <c r="D13" s="7" t="s">
        <v>90</v>
      </c>
      <c r="E13" s="20" t="s">
        <v>326</v>
      </c>
      <c r="F13" s="20" t="s">
        <v>327</v>
      </c>
      <c r="G13" s="7" t="s">
        <v>162</v>
      </c>
      <c r="H13" s="20" t="s">
        <v>328</v>
      </c>
      <c r="I13" s="8" t="s">
        <v>26</v>
      </c>
      <c r="J13" s="6"/>
    </row>
    <row r="14" spans="2:10" ht="79.25" customHeight="1" thickBot="1" x14ac:dyDescent="0.4">
      <c r="B14" s="7" t="s">
        <v>139</v>
      </c>
      <c r="C14" s="20" t="s">
        <v>297</v>
      </c>
      <c r="D14" s="7" t="s">
        <v>90</v>
      </c>
      <c r="E14" s="20" t="s">
        <v>222</v>
      </c>
      <c r="F14" s="20" t="s">
        <v>329</v>
      </c>
      <c r="G14" s="7" t="s">
        <v>163</v>
      </c>
      <c r="H14" s="20" t="s">
        <v>330</v>
      </c>
      <c r="I14" s="8" t="s">
        <v>26</v>
      </c>
      <c r="J14" s="6"/>
    </row>
    <row r="15" spans="2:10" ht="60" customHeight="1" thickBot="1" x14ac:dyDescent="0.4">
      <c r="B15" s="7" t="s">
        <v>140</v>
      </c>
      <c r="C15" s="20" t="s">
        <v>331</v>
      </c>
      <c r="D15" s="7" t="s">
        <v>180</v>
      </c>
      <c r="E15" s="7" t="s">
        <v>223</v>
      </c>
      <c r="F15" s="20" t="s">
        <v>334</v>
      </c>
      <c r="G15" s="20" t="s">
        <v>335</v>
      </c>
      <c r="H15" s="20" t="s">
        <v>336</v>
      </c>
      <c r="I15" s="8" t="s">
        <v>26</v>
      </c>
      <c r="J15" s="6"/>
    </row>
    <row r="16" spans="2:10" ht="60" customHeight="1" thickBot="1" x14ac:dyDescent="0.4">
      <c r="B16" s="7" t="s">
        <v>141</v>
      </c>
      <c r="C16" s="20" t="s">
        <v>331</v>
      </c>
      <c r="D16" s="7" t="s">
        <v>90</v>
      </c>
      <c r="E16" s="7" t="s">
        <v>224</v>
      </c>
      <c r="F16" s="20" t="s">
        <v>337</v>
      </c>
      <c r="G16" s="20" t="s">
        <v>338</v>
      </c>
      <c r="H16" s="7" t="s">
        <v>164</v>
      </c>
      <c r="I16" s="8" t="s">
        <v>26</v>
      </c>
      <c r="J16" s="6"/>
    </row>
    <row r="17" spans="2:10" ht="102" thickBot="1" x14ac:dyDescent="0.4">
      <c r="B17" s="7" t="s">
        <v>142</v>
      </c>
      <c r="C17" s="20" t="s">
        <v>331</v>
      </c>
      <c r="D17" s="7" t="s">
        <v>216</v>
      </c>
      <c r="E17" s="20" t="s">
        <v>339</v>
      </c>
      <c r="F17" s="20" t="s">
        <v>340</v>
      </c>
      <c r="G17" s="7" t="s">
        <v>165</v>
      </c>
      <c r="H17" s="20" t="s">
        <v>341</v>
      </c>
      <c r="I17" s="8" t="s">
        <v>26</v>
      </c>
      <c r="J17" s="6"/>
    </row>
    <row r="18" spans="2:10" ht="134.4" customHeight="1" thickBot="1" x14ac:dyDescent="0.4">
      <c r="B18" s="7" t="s">
        <v>143</v>
      </c>
      <c r="C18" s="20" t="s">
        <v>342</v>
      </c>
      <c r="D18" s="7" t="s">
        <v>216</v>
      </c>
      <c r="E18" s="7" t="s">
        <v>225</v>
      </c>
      <c r="F18" s="20" t="s">
        <v>343</v>
      </c>
      <c r="G18" s="20" t="s">
        <v>344</v>
      </c>
      <c r="H18" s="20" t="s">
        <v>345</v>
      </c>
      <c r="I18" s="8" t="s">
        <v>26</v>
      </c>
      <c r="J18" s="6"/>
    </row>
    <row r="19" spans="2:10" ht="82.25" customHeight="1" thickBot="1" x14ac:dyDescent="0.4">
      <c r="B19" s="7" t="s">
        <v>144</v>
      </c>
      <c r="C19" s="20" t="s">
        <v>342</v>
      </c>
      <c r="D19" s="7" t="s">
        <v>90</v>
      </c>
      <c r="E19" s="7" t="s">
        <v>226</v>
      </c>
      <c r="F19" s="20" t="s">
        <v>346</v>
      </c>
      <c r="G19" s="20" t="s">
        <v>348</v>
      </c>
      <c r="H19" s="20" t="s">
        <v>347</v>
      </c>
      <c r="I19" s="8" t="s">
        <v>26</v>
      </c>
      <c r="J19" s="6"/>
    </row>
    <row r="20" spans="2:10" ht="73" thickBot="1" x14ac:dyDescent="0.4">
      <c r="B20" s="7" t="s">
        <v>145</v>
      </c>
      <c r="C20" s="20" t="s">
        <v>342</v>
      </c>
      <c r="D20" s="7" t="s">
        <v>90</v>
      </c>
      <c r="E20" s="7" t="s">
        <v>227</v>
      </c>
      <c r="F20" s="20" t="s">
        <v>349</v>
      </c>
      <c r="G20" s="7" t="s">
        <v>166</v>
      </c>
      <c r="H20" s="20" t="s">
        <v>350</v>
      </c>
      <c r="I20" s="8" t="s">
        <v>26</v>
      </c>
      <c r="J20" s="6"/>
    </row>
    <row r="21" spans="2:10" ht="103.25" customHeight="1" thickBot="1" x14ac:dyDescent="0.4">
      <c r="B21" s="7" t="s">
        <v>146</v>
      </c>
      <c r="C21" s="20" t="s">
        <v>351</v>
      </c>
      <c r="D21" s="7" t="s">
        <v>181</v>
      </c>
      <c r="E21" s="20" t="s">
        <v>352</v>
      </c>
      <c r="F21" s="20" t="s">
        <v>353</v>
      </c>
      <c r="G21" s="7" t="s">
        <v>167</v>
      </c>
      <c r="H21" s="20" t="s">
        <v>354</v>
      </c>
      <c r="I21" s="8" t="s">
        <v>174</v>
      </c>
      <c r="J21" s="7" t="s">
        <v>175</v>
      </c>
    </row>
    <row r="22" spans="2:10" ht="103.75" customHeight="1" thickBot="1" x14ac:dyDescent="0.4">
      <c r="B22" s="7" t="s">
        <v>147</v>
      </c>
      <c r="C22" s="20" t="s">
        <v>351</v>
      </c>
      <c r="D22" s="7" t="s">
        <v>180</v>
      </c>
      <c r="E22" s="20" t="s">
        <v>355</v>
      </c>
      <c r="F22" s="20" t="s">
        <v>356</v>
      </c>
      <c r="G22" s="7" t="s">
        <v>168</v>
      </c>
      <c r="H22" s="7" t="s">
        <v>169</v>
      </c>
      <c r="I22" s="8" t="s">
        <v>174</v>
      </c>
      <c r="J22" s="7" t="s">
        <v>175</v>
      </c>
    </row>
    <row r="23" spans="2:10" ht="82.25" customHeight="1" thickBot="1" x14ac:dyDescent="0.4">
      <c r="B23" s="7" t="s">
        <v>148</v>
      </c>
      <c r="C23" s="20" t="s">
        <v>351</v>
      </c>
      <c r="D23" s="7" t="s">
        <v>216</v>
      </c>
      <c r="E23" s="7" t="s">
        <v>228</v>
      </c>
      <c r="F23" s="20" t="s">
        <v>357</v>
      </c>
      <c r="G23" s="20" t="s">
        <v>170</v>
      </c>
      <c r="H23" s="20" t="s">
        <v>358</v>
      </c>
      <c r="I23" s="8" t="s">
        <v>26</v>
      </c>
      <c r="J23" s="6"/>
    </row>
    <row r="24" spans="2:10" ht="75.650000000000006" customHeight="1" thickBot="1" x14ac:dyDescent="0.4">
      <c r="B24" s="7" t="s">
        <v>149</v>
      </c>
      <c r="C24" s="20" t="s">
        <v>351</v>
      </c>
      <c r="D24" s="7" t="s">
        <v>216</v>
      </c>
      <c r="E24" s="20" t="s">
        <v>359</v>
      </c>
      <c r="F24" s="7" t="s">
        <v>231</v>
      </c>
      <c r="G24" s="7" t="s">
        <v>171</v>
      </c>
      <c r="H24" s="20" t="s">
        <v>360</v>
      </c>
      <c r="I24" s="8" t="s">
        <v>26</v>
      </c>
      <c r="J24" s="6"/>
    </row>
    <row r="25" spans="2:10" ht="84.65" customHeight="1" thickBot="1" x14ac:dyDescent="0.4">
      <c r="B25" s="7" t="s">
        <v>150</v>
      </c>
      <c r="C25" s="20" t="s">
        <v>351</v>
      </c>
      <c r="D25" s="7" t="s">
        <v>181</v>
      </c>
      <c r="E25" s="20" t="s">
        <v>361</v>
      </c>
      <c r="F25" s="20" t="s">
        <v>362</v>
      </c>
      <c r="G25" s="20" t="s">
        <v>363</v>
      </c>
      <c r="H25" s="20" t="s">
        <v>364</v>
      </c>
      <c r="I25" s="8" t="s">
        <v>26</v>
      </c>
      <c r="J25" s="6"/>
    </row>
    <row r="26" spans="2:10" ht="90" customHeight="1" thickBot="1" x14ac:dyDescent="0.4">
      <c r="B26" s="7" t="s">
        <v>151</v>
      </c>
      <c r="C26" s="20" t="s">
        <v>351</v>
      </c>
      <c r="D26" s="7" t="s">
        <v>90</v>
      </c>
      <c r="E26" s="7" t="s">
        <v>229</v>
      </c>
      <c r="F26" s="20" t="s">
        <v>365</v>
      </c>
      <c r="G26" s="7" t="s">
        <v>172</v>
      </c>
      <c r="H26" s="20" t="s">
        <v>366</v>
      </c>
      <c r="I26" s="8" t="s">
        <v>26</v>
      </c>
      <c r="J26" s="6"/>
    </row>
    <row r="27" spans="2:10" ht="58.5" thickBot="1" x14ac:dyDescent="0.4">
      <c r="B27" s="25" t="s">
        <v>152</v>
      </c>
      <c r="C27" s="20" t="s">
        <v>371</v>
      </c>
      <c r="D27" s="25" t="s">
        <v>90</v>
      </c>
      <c r="E27" s="25" t="s">
        <v>367</v>
      </c>
      <c r="F27" s="25" t="s">
        <v>368</v>
      </c>
      <c r="G27" s="25" t="s">
        <v>369</v>
      </c>
      <c r="H27" s="20" t="s">
        <v>370</v>
      </c>
      <c r="I27" s="8" t="s">
        <v>26</v>
      </c>
      <c r="J27" s="6"/>
    </row>
    <row r="28" spans="2:10" ht="69.650000000000006" customHeight="1" thickBot="1" x14ac:dyDescent="0.4">
      <c r="B28" s="7" t="s">
        <v>153</v>
      </c>
      <c r="C28" s="20" t="s">
        <v>371</v>
      </c>
      <c r="D28" s="7" t="s">
        <v>216</v>
      </c>
      <c r="E28" s="20" t="s">
        <v>372</v>
      </c>
      <c r="F28" s="20" t="s">
        <v>373</v>
      </c>
      <c r="G28" s="7" t="s">
        <v>173</v>
      </c>
      <c r="H28" s="20" t="s">
        <v>374</v>
      </c>
      <c r="I28" s="8" t="s">
        <v>26</v>
      </c>
      <c r="J28" s="6"/>
    </row>
  </sheetData>
  <mergeCells count="1">
    <mergeCell ref="B1:J1"/>
  </mergeCells>
  <conditionalFormatting sqref="I1:I1048576">
    <cfRule type="cellIs" dxfId="3" priority="1" operator="equal">
      <formula>"FAIL"</formula>
    </cfRule>
    <cfRule type="cellIs" dxfId="2" priority="2" operator="equal">
      <formula>"SKIP"</formula>
    </cfRule>
    <cfRule type="cellIs" dxfId="1" priority="3" operator="equal">
      <formula>"FAIL"</formula>
    </cfRule>
    <cfRule type="cellIs" dxfId="0" priority="4" operator="equal">
      <formula>"PASS"</formula>
    </cfRule>
  </conditionalFormatting>
  <dataValidations count="1">
    <dataValidation type="list" allowBlank="1" showInputMessage="1" showErrorMessage="1" sqref="I1:I1048576" xr:uid="{9D30B7C6-3450-4D26-8B5B-A1223350F10D}">
      <formula1>"PASS, FAIL, SKIP"</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quan</vt:lpstr>
      <vt:lpstr>MOD_SEARCH</vt:lpstr>
      <vt:lpstr>MOD_CART</vt:lpstr>
      <vt:lpstr>MOD_CHECKOUT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Văn Huy</dc:creator>
  <cp:lastModifiedBy>Phạm Văn Huy</cp:lastModifiedBy>
  <dcterms:created xsi:type="dcterms:W3CDTF">2026-06-05T07:09:01Z</dcterms:created>
  <dcterms:modified xsi:type="dcterms:W3CDTF">2026-06-08T05:31:53Z</dcterms:modified>
</cp:coreProperties>
</file>